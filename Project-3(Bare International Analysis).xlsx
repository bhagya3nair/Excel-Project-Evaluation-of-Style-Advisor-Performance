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3616680B-E578-4654-84A8-E6374E7F6A52}" xr6:coauthVersionLast="47" xr6:coauthVersionMax="47" xr10:uidLastSave="{00000000-0000-0000-0000-000000000000}"/>
  <bookViews>
    <workbookView xWindow="-110" yWindow="-110" windowWidth="19420" windowHeight="10300" tabRatio="699" firstSheet="2" activeTab="6" xr2:uid="{00000000-000D-0000-FFFF-FFFF00000000}"/>
  </bookViews>
  <sheets>
    <sheet name="Qs)Part-3" sheetId="6" r:id="rId1"/>
    <sheet name="Qs)Part-4 Visualizations-1" sheetId="7" r:id="rId2"/>
    <sheet name="CX_Junior BI Analyst_Test" sheetId="2" r:id="rId3"/>
    <sheet name="Task 1 Sheet" sheetId="8" r:id="rId4"/>
    <sheet name="Task 2 Sheet2" sheetId="9" r:id="rId5"/>
    <sheet name="Task 3 Sheet3" sheetId="10" r:id="rId6"/>
    <sheet name="Calculation Pivot Table" sheetId="11" r:id="rId7"/>
  </sheets>
  <definedNames>
    <definedName name="_xlnm._FilterDatabase" localSheetId="3" hidden="1">'Task 1 Sheet'!$A$1:$A$62</definedName>
    <definedName name="Slicer_Zone">#N/A</definedName>
  </definedNames>
  <calcPr calcId="191029" iterate="1"/>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7" i="11" l="1"/>
  <c r="E147" i="11"/>
  <c r="F147" i="11"/>
  <c r="C147" i="11"/>
  <c r="D146" i="11"/>
  <c r="E146" i="11"/>
  <c r="F146" i="11"/>
  <c r="C146" i="11"/>
  <c r="D145" i="11"/>
  <c r="E145" i="11"/>
  <c r="F145" i="11"/>
  <c r="C145" i="11"/>
  <c r="D143" i="11"/>
  <c r="E143" i="11"/>
  <c r="F143" i="11"/>
  <c r="C143" i="11"/>
  <c r="D144" i="11"/>
  <c r="E144" i="11"/>
  <c r="F144" i="11"/>
  <c r="C144"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78" i="11"/>
  <c r="B136" i="11"/>
  <c r="B137" i="11"/>
  <c r="B138" i="11"/>
  <c r="B131" i="11"/>
  <c r="B132" i="11"/>
  <c r="B133" i="11"/>
  <c r="B134" i="11"/>
  <c r="B135" i="11"/>
  <c r="B128" i="11"/>
  <c r="B129" i="11"/>
  <c r="B130" i="11"/>
  <c r="B125" i="11"/>
  <c r="B126" i="11"/>
  <c r="B127"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78" i="11"/>
  <c r="J32" i="11"/>
  <c r="J25" i="11"/>
  <c r="J59" i="11"/>
  <c r="J65" i="11"/>
  <c r="J21" i="11"/>
  <c r="J16" i="11"/>
  <c r="J17" i="11"/>
  <c r="J18" i="11"/>
  <c r="J19" i="11"/>
  <c r="J49" i="11"/>
  <c r="J20" i="11"/>
  <c r="J40" i="11"/>
  <c r="J63" i="11"/>
  <c r="J50" i="11"/>
  <c r="J67" i="11"/>
  <c r="J68" i="11"/>
  <c r="J41" i="11"/>
  <c r="J42" i="11"/>
  <c r="J29" i="11"/>
  <c r="J43" i="11"/>
  <c r="J51" i="11"/>
  <c r="J24" i="11"/>
  <c r="J22" i="11"/>
  <c r="J27" i="11"/>
  <c r="J61" i="11"/>
  <c r="J44" i="11"/>
  <c r="J13" i="11"/>
  <c r="J14" i="11"/>
  <c r="J37" i="11"/>
  <c r="J66" i="11"/>
  <c r="J45" i="11"/>
  <c r="J30" i="11"/>
  <c r="J64" i="11"/>
  <c r="J60" i="11"/>
  <c r="J62" i="11"/>
  <c r="J54" i="11"/>
  <c r="J46" i="11"/>
  <c r="J52" i="11"/>
  <c r="J33" i="11"/>
  <c r="J38" i="11"/>
  <c r="J47" i="11"/>
  <c r="J35" i="11"/>
  <c r="J70" i="11"/>
  <c r="J39" i="11"/>
  <c r="J48" i="11"/>
  <c r="J72" i="11"/>
  <c r="J26" i="11"/>
  <c r="J28" i="11"/>
  <c r="J53" i="11"/>
  <c r="J69" i="11"/>
  <c r="J73" i="11"/>
  <c r="J34" i="11"/>
  <c r="J56" i="11"/>
  <c r="J36" i="11"/>
  <c r="J55" i="11"/>
  <c r="J31" i="11"/>
  <c r="J71" i="11"/>
  <c r="J57" i="11"/>
  <c r="J58" i="11"/>
  <c r="J15" i="11"/>
  <c r="J23" i="11"/>
  <c r="I32" i="11"/>
  <c r="I25" i="11"/>
  <c r="I59" i="11"/>
  <c r="I65" i="11"/>
  <c r="I21" i="11"/>
  <c r="I16" i="11"/>
  <c r="I17" i="11"/>
  <c r="I18" i="11"/>
  <c r="I19" i="11"/>
  <c r="I49" i="11"/>
  <c r="I20" i="11"/>
  <c r="I40" i="11"/>
  <c r="I63" i="11"/>
  <c r="I50" i="11"/>
  <c r="I67" i="11"/>
  <c r="I68" i="11"/>
  <c r="I41" i="11"/>
  <c r="I42" i="11"/>
  <c r="I29" i="11"/>
  <c r="I43" i="11"/>
  <c r="I51" i="11"/>
  <c r="I24" i="11"/>
  <c r="I22" i="11"/>
  <c r="I27" i="11"/>
  <c r="I61" i="11"/>
  <c r="I44" i="11"/>
  <c r="I13" i="11"/>
  <c r="I14" i="11"/>
  <c r="I37" i="11"/>
  <c r="I66" i="11"/>
  <c r="I45" i="11"/>
  <c r="I30" i="11"/>
  <c r="I64" i="11"/>
  <c r="I60" i="11"/>
  <c r="I62" i="11"/>
  <c r="I54" i="11"/>
  <c r="I46" i="11"/>
  <c r="I52" i="11"/>
  <c r="I33" i="11"/>
  <c r="I38" i="11"/>
  <c r="I47" i="11"/>
  <c r="I35" i="11"/>
  <c r="I70" i="11"/>
  <c r="I39" i="11"/>
  <c r="I48" i="11"/>
  <c r="I72" i="11"/>
  <c r="I26" i="11"/>
  <c r="I28" i="11"/>
  <c r="I53" i="11"/>
  <c r="I69" i="11"/>
  <c r="I73" i="11"/>
  <c r="I34" i="11"/>
  <c r="I56" i="11"/>
  <c r="I36" i="11"/>
  <c r="I55" i="11"/>
  <c r="I31" i="11"/>
  <c r="I71" i="11"/>
  <c r="I57" i="11"/>
  <c r="I58" i="11"/>
  <c r="I15" i="11"/>
  <c r="I23" i="11"/>
  <c r="H32" i="11"/>
  <c r="H25" i="11"/>
  <c r="H59" i="11"/>
  <c r="H65" i="11"/>
  <c r="H21" i="11"/>
  <c r="H16" i="11"/>
  <c r="H17" i="11"/>
  <c r="H18" i="11"/>
  <c r="H19" i="11"/>
  <c r="H49" i="11"/>
  <c r="H20" i="11"/>
  <c r="H40" i="11"/>
  <c r="H63" i="11"/>
  <c r="H50" i="11"/>
  <c r="H67" i="11"/>
  <c r="H68" i="11"/>
  <c r="H41" i="11"/>
  <c r="H42" i="11"/>
  <c r="H29" i="11"/>
  <c r="H43" i="11"/>
  <c r="H51" i="11"/>
  <c r="H24" i="11"/>
  <c r="H22" i="11"/>
  <c r="H27" i="11"/>
  <c r="H61" i="11"/>
  <c r="H44" i="11"/>
  <c r="H13" i="11"/>
  <c r="H14" i="11"/>
  <c r="H37" i="11"/>
  <c r="H66" i="11"/>
  <c r="H45" i="11"/>
  <c r="H30" i="11"/>
  <c r="H64" i="11"/>
  <c r="H60" i="11"/>
  <c r="H62" i="11"/>
  <c r="H54" i="11"/>
  <c r="H46" i="11"/>
  <c r="H52" i="11"/>
  <c r="H33" i="11"/>
  <c r="H38" i="11"/>
  <c r="H47" i="11"/>
  <c r="H35" i="11"/>
  <c r="H70" i="11"/>
  <c r="H39" i="11"/>
  <c r="H48" i="11"/>
  <c r="H72" i="11"/>
  <c r="H26" i="11"/>
  <c r="H28" i="11"/>
  <c r="H53" i="11"/>
  <c r="H69" i="11"/>
  <c r="H73" i="11"/>
  <c r="H34" i="11"/>
  <c r="H56" i="11"/>
  <c r="H36" i="11"/>
  <c r="H55" i="11"/>
  <c r="H31" i="11"/>
  <c r="H71" i="11"/>
  <c r="H57" i="11"/>
  <c r="H58" i="11"/>
  <c r="H15" i="11"/>
  <c r="H23" i="11"/>
  <c r="G32" i="11"/>
  <c r="G25" i="11"/>
  <c r="G59" i="11"/>
  <c r="G65" i="11"/>
  <c r="G21" i="11"/>
  <c r="G16" i="11"/>
  <c r="G17" i="11"/>
  <c r="G18" i="11"/>
  <c r="G19" i="11"/>
  <c r="G49" i="11"/>
  <c r="G20" i="11"/>
  <c r="G40" i="11"/>
  <c r="G63" i="11"/>
  <c r="G50" i="11"/>
  <c r="G67" i="11"/>
  <c r="G68" i="11"/>
  <c r="G41" i="11"/>
  <c r="G42" i="11"/>
  <c r="G29" i="11"/>
  <c r="G43" i="11"/>
  <c r="G51" i="11"/>
  <c r="G24" i="11"/>
  <c r="G22" i="11"/>
  <c r="G27" i="11"/>
  <c r="G61" i="11"/>
  <c r="G44" i="11"/>
  <c r="G13" i="11"/>
  <c r="G14" i="11"/>
  <c r="G37" i="11"/>
  <c r="G66" i="11"/>
  <c r="G45" i="11"/>
  <c r="G30" i="11"/>
  <c r="G64" i="11"/>
  <c r="G60" i="11"/>
  <c r="G62" i="11"/>
  <c r="G54" i="11"/>
  <c r="G46" i="11"/>
  <c r="G52" i="11"/>
  <c r="G33" i="11"/>
  <c r="G38" i="11"/>
  <c r="G47" i="11"/>
  <c r="G35" i="11"/>
  <c r="G70" i="11"/>
  <c r="G39" i="11"/>
  <c r="G48" i="11"/>
  <c r="G72" i="11"/>
  <c r="G26" i="11"/>
  <c r="G28" i="11"/>
  <c r="G53" i="11"/>
  <c r="G69" i="11"/>
  <c r="G73" i="11"/>
  <c r="G34" i="11"/>
  <c r="G56" i="11"/>
  <c r="G36" i="11"/>
  <c r="G55" i="11"/>
  <c r="G31" i="11"/>
  <c r="G71" i="11"/>
  <c r="G57" i="11"/>
  <c r="G58" i="11"/>
  <c r="G15" i="11"/>
  <c r="G23" i="11"/>
  <c r="E41" i="11"/>
  <c r="E73" i="11"/>
  <c r="E19" i="11"/>
  <c r="E20" i="11"/>
  <c r="E21" i="11"/>
  <c r="E22" i="11"/>
  <c r="E24" i="11"/>
  <c r="E18" i="11"/>
  <c r="E36" i="11"/>
  <c r="E13" i="11"/>
  <c r="E35" i="11"/>
  <c r="E15" i="11"/>
  <c r="E60" i="11"/>
  <c r="E37" i="11"/>
  <c r="E61" i="11"/>
  <c r="E32" i="11"/>
  <c r="E45" i="11"/>
  <c r="E69" i="11"/>
  <c r="E14" i="11"/>
  <c r="E52" i="11"/>
  <c r="E65" i="11"/>
  <c r="E55" i="11"/>
  <c r="E67" i="11"/>
  <c r="E42" i="11"/>
  <c r="E53" i="11"/>
  <c r="E57" i="11"/>
  <c r="E25" i="11"/>
  <c r="E30" i="11"/>
  <c r="E31" i="11"/>
  <c r="E33" i="11"/>
  <c r="E39" i="11"/>
  <c r="E44" i="11"/>
  <c r="E50" i="11"/>
  <c r="E54" i="11"/>
  <c r="E58" i="11"/>
  <c r="E23" i="11"/>
  <c r="E27" i="11"/>
  <c r="E34" i="11"/>
  <c r="E51" i="11"/>
  <c r="E62" i="11"/>
  <c r="E49" i="11"/>
  <c r="E68" i="11"/>
  <c r="E66" i="11"/>
  <c r="E71" i="11"/>
  <c r="E72" i="11"/>
  <c r="E16" i="11"/>
  <c r="E47" i="11"/>
  <c r="E38" i="11"/>
  <c r="E48" i="11"/>
  <c r="E26" i="11"/>
  <c r="E46" i="11"/>
  <c r="E17" i="11"/>
  <c r="E43" i="11"/>
  <c r="E28" i="11"/>
  <c r="E29" i="11"/>
  <c r="E63" i="11"/>
  <c r="E56" i="11"/>
  <c r="E70" i="11"/>
  <c r="E59" i="11"/>
  <c r="E64" i="11"/>
  <c r="E40"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13" i="11"/>
  <c r="D79" i="9"/>
  <c r="E79" i="9"/>
  <c r="F79" i="9"/>
  <c r="C79" i="9"/>
  <c r="D76" i="9"/>
  <c r="E76" i="9"/>
  <c r="F76" i="9"/>
  <c r="C76" i="9"/>
  <c r="C78" i="9" s="1"/>
  <c r="D77" i="9"/>
  <c r="E77" i="9"/>
  <c r="F77" i="9"/>
  <c r="C77" i="9"/>
  <c r="F78" i="9" l="1"/>
  <c r="E78" i="9"/>
  <c r="D78" i="9"/>
  <c r="B8" i="8" l="1"/>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3" i="8"/>
  <c r="B4" i="8"/>
  <c r="B5" i="8"/>
  <c r="B6" i="8"/>
  <c r="B7" i="8"/>
  <c r="B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PANKAJ SINGH</author>
  </authors>
  <commentList>
    <comment ref="D12" authorId="0" shapeId="0" xr:uid="{562DEF07-BDF0-4E90-A61E-0B655285572F}">
      <text>
        <r>
          <rPr>
            <b/>
            <sz val="9"/>
            <color indexed="81"/>
            <rFont val="Tahoma"/>
            <family val="2"/>
          </rPr>
          <t>PANKAJ SINGH:</t>
        </r>
        <r>
          <rPr>
            <sz val="9"/>
            <color indexed="81"/>
            <rFont val="Tahoma"/>
            <family val="2"/>
          </rPr>
          <t xml:space="preserve">
Time spent by customers in store </t>
        </r>
      </text>
    </comment>
    <comment ref="E12" authorId="0" shapeId="0" xr:uid="{647B7316-8403-4F5C-9914-C520DBB90544}">
      <text>
        <r>
          <rPr>
            <b/>
            <sz val="9"/>
            <color indexed="81"/>
            <rFont val="Tahoma"/>
            <family val="2"/>
          </rPr>
          <t>PANKAJ SINGH:</t>
        </r>
        <r>
          <rPr>
            <sz val="9"/>
            <color indexed="81"/>
            <rFont val="Tahoma"/>
            <family val="2"/>
          </rPr>
          <t xml:space="preserve">
Based on different parameters from D Column to K Column excluding evaluation_Score</t>
        </r>
      </text>
    </comment>
    <comment ref="I12" authorId="0" shapeId="0" xr:uid="{DACF0746-768A-4CA6-B621-857C087E0618}">
      <text>
        <r>
          <rPr>
            <b/>
            <sz val="9"/>
            <color indexed="81"/>
            <rFont val="Tahoma"/>
            <family val="2"/>
          </rPr>
          <t>PANKAJ SINGH:</t>
        </r>
        <r>
          <rPr>
            <sz val="9"/>
            <color indexed="81"/>
            <rFont val="Tahoma"/>
            <family val="2"/>
          </rPr>
          <t xml:space="preserve">
Time spent by customers in store </t>
        </r>
      </text>
    </comment>
    <comment ref="J12" authorId="0" shapeId="0" xr:uid="{CFE03726-5C96-4826-8218-CA27AEE46FEE}">
      <text>
        <r>
          <rPr>
            <b/>
            <sz val="9"/>
            <color indexed="81"/>
            <rFont val="Tahoma"/>
            <family val="2"/>
          </rPr>
          <t>PANKAJ SINGH:</t>
        </r>
        <r>
          <rPr>
            <sz val="9"/>
            <color indexed="81"/>
            <rFont val="Tahoma"/>
            <family val="2"/>
          </rPr>
          <t xml:space="preserve">
Based on different parameters from D Column to K Column excluding evaluation_Score</t>
        </r>
      </text>
    </comment>
  </commentList>
</comments>
</file>

<file path=xl/sharedStrings.xml><?xml version="1.0" encoding="utf-8"?>
<sst xmlns="http://schemas.openxmlformats.org/spreadsheetml/2006/main" count="4028" uniqueCount="809">
  <si>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</si>
  <si>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</si>
  <si>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</si>
  <si>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</si>
  <si>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</si>
  <si>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</si>
  <si>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</si>
  <si>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</si>
  <si>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</si>
  <si>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</si>
  <si>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</si>
  <si>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</si>
  <si>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</si>
  <si>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</si>
  <si>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</si>
  <si>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</si>
  <si>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</si>
  <si>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</si>
  <si>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</si>
  <si>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</si>
  <si>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</si>
  <si>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</si>
  <si>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</si>
  <si>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</si>
  <si>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</si>
  <si>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</si>
  <si>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</si>
  <si>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</si>
  <si>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</si>
  <si>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</si>
  <si>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</si>
  <si>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</si>
  <si>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</si>
  <si>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</si>
  <si>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</si>
  <si>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</si>
  <si>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</si>
  <si>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</si>
  <si>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</si>
  <si>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</si>
  <si>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</si>
  <si>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</si>
  <si>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</si>
  <si>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</si>
  <si>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</si>
  <si>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</si>
  <si>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</si>
  <si>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</si>
  <si>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</si>
  <si>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</si>
  <si>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</si>
  <si>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</si>
  <si>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</si>
  <si>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</si>
  <si>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</si>
  <si>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</si>
  <si>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</si>
  <si>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</si>
  <si>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</si>
  <si>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</si>
  <si>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</si>
  <si>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</si>
  <si>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</si>
  <si>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</si>
  <si>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</si>
  <si>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</si>
  <si>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</si>
  <si>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</si>
  <si>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</si>
  <si>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</si>
  <si>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</si>
  <si>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</si>
  <si>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</si>
  <si>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</si>
  <si>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</si>
  <si>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</si>
  <si>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</si>
  <si>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</si>
  <si>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</si>
  <si>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</si>
  <si>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</si>
  <si>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</si>
  <si>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</si>
  <si>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</si>
  <si>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</si>
  <si>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</si>
  <si>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</si>
  <si>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</si>
  <si>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</si>
  <si>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</si>
  <si>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</si>
  <si>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</si>
  <si>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</si>
  <si>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</si>
  <si>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</si>
  <si>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</si>
  <si>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</si>
  <si>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</si>
  <si>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</si>
  <si>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</si>
  <si>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</si>
  <si>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</si>
  <si>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</si>
  <si>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</si>
  <si>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</si>
  <si>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</si>
  <si>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</si>
  <si>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</si>
  <si>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</si>
  <si>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</si>
  <si>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</si>
  <si>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</si>
  <si>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</si>
  <si>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</si>
  <si>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</si>
  <si>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</si>
  <si>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</si>
  <si>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</si>
  <si>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</si>
  <si>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</si>
  <si>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</si>
  <si>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</si>
  <si>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</si>
  <si>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</si>
  <si>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</si>
  <si>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</si>
  <si>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</si>
  <si>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</si>
  <si>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</si>
  <si>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</si>
  <si>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</si>
  <si>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</si>
  <si>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</si>
  <si>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</si>
  <si>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</si>
  <si>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</si>
  <si>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</si>
  <si>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</si>
  <si>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</si>
  <si>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</si>
  <si>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</si>
  <si>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</si>
  <si>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</si>
  <si>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</si>
  <si>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</si>
  <si>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</si>
  <si>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</si>
  <si>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</si>
  <si>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</si>
  <si>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</si>
  <si>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</si>
  <si>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</si>
  <si>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</si>
  <si>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</si>
  <si>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</si>
  <si>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</si>
  <si>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</si>
  <si>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</si>
  <si>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</si>
  <si>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</si>
  <si>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</si>
  <si>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</si>
  <si>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</si>
  <si>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</si>
  <si>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</si>
  <si>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</si>
  <si>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</si>
  <si>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</si>
  <si>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</si>
  <si>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</si>
  <si>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</si>
  <si>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</si>
  <si>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</si>
  <si>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</si>
  <si>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</si>
  <si>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</si>
  <si>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</si>
  <si>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</si>
  <si>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</si>
  <si>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</si>
  <si>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</si>
  <si>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</si>
  <si>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</si>
  <si>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</si>
  <si>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</si>
  <si>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</si>
  <si>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</si>
  <si>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</si>
  <si>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</si>
  <si>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</si>
  <si>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</si>
  <si>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</si>
  <si>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</si>
  <si>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</si>
  <si>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</si>
  <si>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</si>
  <si>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</si>
  <si>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</si>
  <si>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</si>
  <si>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</si>
  <si>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</si>
  <si>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</si>
  <si>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</si>
  <si>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</si>
  <si>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</si>
  <si>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</si>
  <si>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</si>
  <si>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</si>
  <si>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</si>
  <si>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</si>
  <si>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</si>
  <si>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</si>
  <si>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</si>
  <si>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</si>
  <si>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</si>
  <si>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</si>
  <si>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</si>
  <si>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</si>
  <si>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</si>
  <si>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</si>
  <si>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</si>
  <si>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</si>
  <si>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</si>
  <si>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</si>
  <si>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</si>
  <si>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</si>
  <si>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</si>
  <si>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</si>
  <si>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</si>
  <si>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</si>
  <si>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</si>
  <si>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</si>
  <si>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</si>
  <si>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</si>
  <si>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</si>
  <si>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</si>
  <si>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</si>
  <si>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</si>
  <si>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</si>
  <si>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</si>
  <si>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</si>
  <si>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</si>
  <si>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</si>
  <si>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</si>
  <si>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</si>
  <si>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</si>
  <si>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</si>
  <si>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</si>
  <si>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</si>
  <si>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</si>
  <si>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</si>
  <si>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</si>
  <si>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</si>
  <si>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</si>
  <si>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</si>
  <si>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</si>
  <si>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</si>
  <si>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</si>
  <si>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</si>
  <si>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</si>
  <si>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</si>
  <si>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</si>
  <si>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</si>
  <si>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</si>
  <si>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</si>
  <si>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</si>
  <si>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</si>
  <si>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</si>
  <si>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</si>
  <si>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</si>
  <si>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</si>
  <si>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</si>
  <si>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</si>
  <si>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</si>
  <si>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</si>
  <si>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</si>
  <si>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</si>
  <si>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</si>
  <si>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</si>
  <si>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</si>
  <si>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</si>
  <si>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</si>
  <si>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</si>
  <si>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</si>
  <si>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</si>
  <si>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</si>
  <si>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</si>
  <si>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</si>
  <si>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</si>
  <si>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</si>
  <si>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</si>
  <si>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</si>
  <si>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</si>
  <si>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</si>
  <si>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</si>
  <si>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</si>
  <si>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</si>
  <si>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</si>
  <si>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</si>
  <si>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</si>
  <si>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</si>
  <si>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</si>
  <si>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</si>
  <si>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</si>
  <si>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</si>
  <si>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</si>
  <si>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</si>
  <si>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</si>
  <si>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</si>
  <si>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</si>
  <si>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</si>
  <si>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</si>
  <si>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</si>
  <si>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</si>
  <si>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</si>
  <si>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</si>
  <si>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</si>
  <si>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</si>
  <si>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</si>
  <si>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</si>
  <si>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</si>
  <si>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</si>
  <si>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</si>
  <si>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</si>
  <si>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</si>
  <si>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</si>
  <si>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</si>
  <si>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</si>
  <si>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</si>
  <si>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</si>
  <si>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</si>
  <si>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</si>
  <si>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</si>
  <si>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</si>
  <si>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</si>
  <si>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</si>
  <si>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</si>
  <si>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</si>
  <si>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</si>
  <si>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</si>
  <si>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</si>
  <si>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</si>
  <si>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</si>
  <si>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</si>
  <si>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</si>
  <si>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</si>
  <si>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</si>
  <si>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</si>
  <si>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</si>
  <si>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</si>
  <si>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</si>
  <si>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</si>
  <si>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</si>
  <si>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</si>
  <si>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</si>
  <si>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</si>
  <si>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</si>
  <si>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</si>
  <si>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</si>
  <si>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</si>
  <si>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</si>
  <si>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</si>
  <si>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</si>
  <si>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</si>
  <si>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</si>
  <si>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</si>
  <si>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</si>
  <si>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</si>
  <si>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</si>
  <si>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</si>
  <si>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</si>
  <si>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</si>
  <si>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</si>
  <si>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</si>
  <si>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</si>
  <si>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</si>
  <si>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</si>
  <si>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</si>
  <si>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</si>
  <si>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</si>
  <si>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</si>
  <si>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</si>
  <si>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</si>
  <si>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</si>
  <si>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</si>
  <si>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</si>
  <si>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</si>
  <si>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</si>
  <si>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</si>
  <si>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</si>
  <si>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</si>
  <si>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</si>
  <si>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</si>
  <si>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</si>
  <si>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</si>
  <si>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</si>
  <si>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</si>
  <si>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</si>
  <si>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</si>
  <si>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</si>
  <si>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</si>
  <si>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</si>
  <si>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</si>
  <si>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</si>
  <si>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</si>
  <si>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</si>
  <si>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</si>
  <si>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</si>
  <si>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</si>
  <si>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</si>
  <si>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</si>
  <si>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</si>
  <si>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</si>
  <si>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</si>
  <si>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</si>
  <si>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</si>
  <si>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</si>
  <si>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</si>
  <si>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</si>
  <si>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</si>
  <si>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</si>
  <si>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</si>
  <si>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</si>
  <si>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</si>
  <si>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</si>
  <si>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</si>
  <si>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</si>
  <si>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</si>
  <si>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</si>
  <si>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</si>
  <si>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</si>
  <si>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</si>
  <si>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</si>
  <si>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</si>
  <si>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</si>
  <si>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</si>
  <si>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</si>
  <si>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</si>
  <si>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</si>
  <si>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</si>
  <si>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</si>
  <si>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</si>
  <si>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</si>
  <si>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</si>
  <si>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</si>
  <si>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</si>
  <si>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</si>
  <si>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</si>
  <si>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</si>
  <si>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</si>
  <si>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</si>
  <si>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</si>
  <si>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</si>
  <si>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</si>
  <si>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</si>
  <si>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</si>
  <si>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</si>
  <si>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</si>
  <si>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</si>
  <si>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</si>
  <si>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</si>
  <si>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</si>
  <si>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</si>
  <si>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</si>
  <si>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</si>
  <si>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</si>
  <si>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</si>
  <si>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</si>
  <si>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</si>
  <si>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</si>
  <si>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</si>
  <si>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</si>
  <si>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</si>
  <si>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</si>
  <si>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</si>
  <si>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</si>
  <si>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</si>
  <si>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</si>
  <si>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</si>
  <si>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</si>
  <si>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</si>
  <si>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</si>
  <si>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</si>
  <si>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</si>
  <si>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</si>
  <si>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</si>
  <si>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</si>
  <si>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</si>
  <si>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</si>
  <si>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</si>
  <si>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</si>
  <si>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</si>
  <si>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</si>
  <si>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</si>
  <si>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</si>
  <si>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</si>
  <si>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</si>
  <si>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</si>
  <si>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</si>
  <si>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</si>
  <si>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</si>
  <si>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</si>
  <si>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</si>
  <si>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</si>
  <si>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</si>
  <si>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</si>
  <si>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</si>
  <si>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</si>
  <si>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</si>
  <si>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</si>
  <si>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</si>
  <si>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</si>
  <si>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</si>
  <si>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</si>
  <si>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</si>
  <si>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</si>
  <si>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</si>
  <si>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</si>
  <si>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</si>
  <si>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</si>
  <si>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</si>
  <si>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</si>
  <si>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</si>
  <si>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</si>
  <si>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</si>
  <si>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</si>
  <si>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</si>
  <si>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</si>
  <si>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</si>
  <si>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</si>
  <si>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</si>
  <si>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</si>
  <si>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</si>
  <si>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</si>
  <si>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</si>
  <si>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</si>
  <si>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</si>
  <si>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</si>
  <si>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</si>
  <si>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</si>
  <si>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</si>
  <si>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</si>
  <si>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</si>
  <si>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</si>
  <si>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</si>
  <si>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</si>
  <si>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</si>
  <si>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</si>
  <si>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</si>
  <si>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</si>
  <si>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</si>
  <si>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</si>
  <si>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</si>
  <si>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</si>
  <si>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</si>
  <si>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</si>
  <si>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</si>
  <si>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</si>
  <si>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</si>
  <si>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</si>
  <si>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</si>
  <si>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</si>
  <si>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</si>
  <si>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</si>
  <si>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</si>
  <si>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</si>
  <si>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</si>
  <si>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</si>
  <si>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</si>
  <si>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</si>
  <si>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</si>
  <si>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</si>
  <si>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</si>
  <si>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</si>
  <si>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</si>
  <si>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</si>
  <si>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</si>
  <si>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</si>
  <si>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</si>
  <si>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</si>
  <si>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</si>
  <si>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</si>
  <si>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</si>
  <si>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</si>
  <si>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</si>
  <si>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</si>
  <si>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</si>
  <si>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</si>
  <si>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</si>
  <si>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</si>
  <si>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</si>
  <si>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</si>
  <si>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</si>
  <si>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</si>
  <si>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</si>
  <si>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</si>
  <si>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</si>
  <si>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</si>
  <si>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</si>
  <si>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</si>
  <si>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</si>
  <si>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</si>
  <si>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</si>
  <si>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</si>
  <si>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</si>
  <si>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</si>
  <si>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</si>
  <si>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</si>
  <si>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</si>
  <si>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</si>
  <si>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</si>
  <si>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</si>
  <si>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</si>
  <si>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</si>
  <si>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</si>
  <si>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</si>
  <si>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</si>
  <si>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</si>
  <si>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</si>
  <si>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</si>
  <si>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</si>
  <si>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</si>
  <si>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</si>
  <si>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</si>
  <si>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</si>
  <si>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</si>
  <si>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</si>
  <si>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</si>
  <si>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</si>
  <si>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</si>
  <si>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</si>
  <si>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</si>
  <si>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</si>
  <si>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</si>
  <si>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</si>
  <si>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</si>
  <si>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</si>
  <si>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</si>
  <si>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</si>
  <si>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</si>
  <si>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</si>
  <si>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</si>
  <si>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</si>
  <si>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</si>
  <si>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</si>
  <si>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</si>
  <si>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</si>
  <si>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</si>
  <si>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</si>
  <si>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</si>
  <si>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</si>
  <si>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</si>
  <si>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</si>
  <si>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</si>
  <si>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</si>
  <si>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</si>
  <si>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</si>
  <si>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</si>
  <si>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</si>
  <si>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</si>
  <si>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</si>
  <si>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</si>
  <si>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</si>
  <si>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</si>
  <si>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</si>
  <si>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</si>
  <si>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</si>
  <si>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</si>
  <si>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</si>
  <si>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</si>
  <si>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</si>
  <si>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</si>
  <si>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</si>
  <si>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</si>
  <si>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</si>
  <si>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</si>
  <si>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</si>
  <si>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</si>
  <si>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</si>
  <si>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</si>
  <si>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</si>
  <si>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</si>
  <si>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</si>
  <si>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</si>
  <si>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</si>
  <si>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</si>
  <si>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</si>
  <si>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</si>
  <si>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</si>
  <si>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</si>
  <si>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</si>
  <si>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</si>
  <si>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</si>
  <si>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</si>
  <si>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</si>
  <si>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</si>
  <si>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</si>
  <si>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</si>
  <si>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</si>
  <si>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</si>
  <si>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</si>
  <si>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</si>
  <si>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</si>
  <si>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</si>
  <si>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</si>
  <si>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</si>
  <si>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</si>
  <si>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</si>
  <si>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</si>
  <si>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</si>
  <si>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</si>
  <si>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</si>
  <si>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</si>
  <si>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</si>
  <si>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</si>
  <si>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</si>
  <si>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</si>
  <si>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</si>
  <si>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</si>
  <si>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</si>
  <si>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</si>
  <si>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</si>
  <si>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</si>
  <si>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</si>
  <si>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</si>
  <si>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</si>
  <si>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</si>
  <si>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</si>
  <si>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</si>
  <si>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</si>
  <si>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</si>
  <si>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</si>
  <si>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</si>
  <si>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</si>
  <si>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</si>
  <si>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</si>
  <si>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</si>
  <si>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</si>
  <si>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</si>
  <si>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</si>
  <si>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</si>
  <si>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</si>
  <si>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</si>
  <si>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</si>
  <si>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</si>
  <si>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</si>
  <si>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</si>
  <si>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</si>
  <si>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</si>
  <si>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</si>
  <si>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</si>
  <si>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</si>
  <si>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</si>
  <si>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</si>
  <si>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</si>
  <si>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</si>
  <si>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</si>
  <si>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</si>
  <si>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</si>
  <si>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</si>
  <si>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</si>
  <si>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</si>
  <si>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</si>
  <si>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</si>
  <si>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</si>
  <si>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</si>
  <si>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</si>
  <si>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</si>
  <si>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</si>
  <si>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</si>
  <si>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</si>
  <si>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</si>
  <si>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</si>
  <si>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</si>
  <si>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</si>
  <si>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</si>
  <si>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</si>
  <si>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</si>
  <si>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</si>
  <si>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</si>
  <si>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</si>
  <si>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</si>
  <si>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</si>
  <si>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</si>
  <si>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</si>
  <si>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 xml:space="preserve">Task 1 - Performance Grading </t>
  </si>
  <si>
    <t>Evaluation Grading</t>
  </si>
  <si>
    <t>Sum of Evaluation_Score</t>
  </si>
  <si>
    <t xml:space="preserve">Evaluation Grading Bar </t>
  </si>
  <si>
    <t>Top Performers</t>
  </si>
  <si>
    <t>Total Style Advisors</t>
  </si>
  <si>
    <t>% of Top Performers</t>
  </si>
  <si>
    <t>% of Others</t>
  </si>
  <si>
    <t>Particulars</t>
  </si>
  <si>
    <t>Bare International Visualization Project</t>
  </si>
  <si>
    <t>1)</t>
  </si>
  <si>
    <t>2)</t>
  </si>
  <si>
    <t>Name of Style Advisors</t>
  </si>
  <si>
    <t>Region</t>
  </si>
  <si>
    <t>Time Duration in Mins</t>
  </si>
  <si>
    <t>Performance Score</t>
  </si>
  <si>
    <t>Time Duration in Mins ASC</t>
  </si>
  <si>
    <t>3)</t>
  </si>
  <si>
    <t>4)</t>
  </si>
  <si>
    <t>East_Region</t>
  </si>
  <si>
    <t>North _Region</t>
  </si>
  <si>
    <t>South _Region</t>
  </si>
  <si>
    <t>West _Region</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</si>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</sst>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2"/>
      <color theme="1"/>
      <name val="Calibri"/>
      <family val="2"/>
      <scheme val="minor"/>
    </font>
    <font>
      <b/>
      <sz val="12"/>
      <color theme="1"/>
      <name val="Calibri"/>
      <family val="2"/>
      <scheme val="minor"/>
    </font>
    <font>
      <b/>
      <sz val="15"/>
      <color theme="1"/>
      <name val="Arial"/>
      <family val="2"/>
    </font>
    <font>
      <sz val="11"/>
      <color theme="1"/>
      <name val="Arial"/>
      <family val="2"/>
    </font>
    <font>
      <b/>
      <sz val="11"/>
      <color theme="1"/>
      <name val="Calibri"/>
      <family val="2"/>
      <scheme val="minor"/>
    </font>
    <font>
      <b/>
      <sz val="11"/>
      <color theme="1"/>
      <name val="Arial"/>
      <family val="2"/>
    </font>
    <font>
      <sz val="11"/>
      <color theme="1"/>
      <name val="Calibri"/>
      <family val="2"/>
      <scheme val="minor"/>
    </font>
    <font>
      <b/>
      <sz val="11"/>
      <color theme="0"/>
      <name val="Arial"/>
      <family val="2"/>
    </font>
    <font>
      <b/>
      <sz val="11"/>
      <name val="Arial"/>
      <family val="2"/>
    </font>
    <font>
      <b/>
      <sz val="20"/>
      <color theme="1"/>
      <name val="Calibri"/>
      <family val="2"/>
      <scheme val="minor"/>
    </font>
    <font>
      <b/>
      <sz val="9"/>
      <color indexed="81"/>
      <name val="Tahoma"/>
      <family val="2"/>
    </font>
    <font>
      <sz val="9"/>
      <color indexed="81"/>
      <name val="Tahoma"/>
      <family val="2"/>
    </font>
    <font>
      <b/>
      <sz val="11"/>
      <color theme="1" tint="4.9989318521683403E-2"/>
      <name val="Arial"/>
      <family val="2"/>
    </font>
    <font>
      <b/>
      <sz val="12"/>
      <name val="Arial"/>
      <family val="2"/>
    </font>
  </fonts>
  <fills count="17">
    <fill>
      <patternFill patternType="none"/>
    </fill>
    <fill>
      <patternFill patternType="gray125"/>
    </fill>
    <fill>
      <patternFill patternType="solid">
        <fgColor theme="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theme="7" tint="0.79998168889431442"/>
      </patternFill>
    </fill>
    <fill>
      <patternFill patternType="solid">
        <fgColor theme="0"/>
        <bgColor indexed="64"/>
      </patternFill>
    </fill>
    <fill>
      <patternFill patternType="solid">
        <fgColor theme="4" tint="0.39997558519241921"/>
        <bgColor theme="7"/>
      </patternFill>
    </fill>
    <fill>
      <patternFill patternType="solid">
        <fgColor theme="4" tint="0.39997558519241921"/>
        <bgColor theme="4" tint="0.79998168889431442"/>
      </patternFill>
    </fill>
    <fill>
      <patternFill patternType="solid">
        <fgColor theme="8" tint="0.59999389629810485"/>
        <bgColor theme="6"/>
      </patternFill>
    </fill>
    <fill>
      <patternFill patternType="solid">
        <fgColor theme="9" tint="0.59999389629810485"/>
        <bgColor indexed="64"/>
      </patternFill>
    </fill>
    <fill>
      <patternFill patternType="solid">
        <fgColor theme="9" tint="0.39997558519241921"/>
        <bgColor theme="1"/>
      </patternFill>
    </fill>
    <fill>
      <patternFill patternType="solid">
        <fgColor theme="4" tint="0.39997558519241921"/>
        <bgColor theme="5" tint="-0.249977111117893"/>
      </patternFill>
    </fill>
    <fill>
      <patternFill patternType="solid">
        <fgColor theme="4" tint="0.39997558519241921"/>
        <bgColor theme="5"/>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38">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4" fillId="0" borderId="1" xfId="0" applyFont="1" applyBorder="1"/>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0" fillId="0" borderId="1" xfId="0" pivotButton="1" applyBorder="1"/>
    <xf numFmtId="0" fontId="0" fillId="0" borderId="1" xfId="0" applyBorder="1"/>
    <xf numFmtId="0" fontId="0" fillId="0" borderId="1" xfId="0" applyBorder="1" applyAlignment="1">
      <alignment horizontal="left"/>
    </xf>
    <xf numFmtId="1" fontId="0" fillId="0" borderId="1" xfId="0" applyNumberFormat="1" applyBorder="1"/>
    <xf numFmtId="0" fontId="4" fillId="7" borderId="1" xfId="0" applyFont="1" applyFill="1" applyBorder="1" applyAlignment="1">
      <alignment horizontal="left"/>
    </xf>
    <xf numFmtId="0" fontId="4" fillId="8" borderId="1" xfId="0" applyFont="1" applyFill="1" applyBorder="1" applyAlignment="1">
      <alignment horizontal="left"/>
    </xf>
    <xf numFmtId="0" fontId="4" fillId="7" borderId="1" xfId="0" applyFont="1" applyFill="1" applyBorder="1"/>
    <xf numFmtId="0" fontId="2" fillId="2" borderId="1" xfId="0" applyFont="1" applyFill="1" applyBorder="1" applyAlignment="1">
      <alignment horizontal="center"/>
    </xf>
    <xf numFmtId="9" fontId="0" fillId="0" borderId="1" xfId="0" applyNumberFormat="1" applyBorder="1"/>
    <xf numFmtId="9" fontId="0" fillId="0" borderId="1" xfId="1" applyFont="1" applyBorder="1"/>
    <xf numFmtId="0" fontId="9" fillId="9" borderId="1" xfId="0" applyFont="1" applyFill="1" applyBorder="1" applyAlignment="1">
      <alignment horizontal="left"/>
    </xf>
    <xf numFmtId="0" fontId="5" fillId="10" borderId="1" xfId="0" applyFont="1" applyFill="1" applyBorder="1"/>
    <xf numFmtId="0" fontId="6" fillId="12" borderId="1" xfId="0" applyFont="1" applyFill="1" applyBorder="1"/>
    <xf numFmtId="0" fontId="9" fillId="13" borderId="1" xfId="0" applyFont="1" applyFill="1" applyBorder="1" applyAlignment="1">
      <alignment horizontal="left"/>
    </xf>
    <xf numFmtId="0" fontId="14" fillId="13" borderId="1" xfId="0" applyFont="1" applyFill="1" applyBorder="1" applyAlignment="1">
      <alignment horizontal="center" vertical="center"/>
    </xf>
    <xf numFmtId="0" fontId="8" fillId="14" borderId="1" xfId="0" applyFont="1" applyFill="1" applyBorder="1" applyAlignment="1">
      <alignment horizontal="left"/>
    </xf>
    <xf numFmtId="0" fontId="8" fillId="15" borderId="1" xfId="0" applyFont="1" applyFill="1" applyBorder="1" applyAlignment="1">
      <alignment horizontal="left"/>
    </xf>
    <xf numFmtId="0" fontId="8" fillId="16" borderId="1" xfId="0" applyFont="1" applyFill="1" applyBorder="1"/>
    <xf numFmtId="0" fontId="5" fillId="0" borderId="1" xfId="0" applyFont="1" applyBorder="1"/>
    <xf numFmtId="9" fontId="0" fillId="4" borderId="1" xfId="0" applyNumberFormat="1" applyFill="1" applyBorder="1"/>
    <xf numFmtId="2" fontId="0" fillId="0" borderId="1" xfId="0" applyNumberFormat="1" applyBorder="1"/>
    <xf numFmtId="164" fontId="0" fillId="0" borderId="1" xfId="0" applyNumberFormat="1" applyBorder="1"/>
    <xf numFmtId="0" fontId="13" fillId="11" borderId="1" xfId="0" applyFont="1" applyFill="1" applyBorder="1"/>
    <xf numFmtId="0" fontId="3" fillId="0" borderId="1" xfId="0" applyFont="1" applyBorder="1" applyAlignment="1">
      <alignment horizontal="center"/>
    </xf>
    <xf numFmtId="0" fontId="10" fillId="3" borderId="0" xfId="0" applyFont="1" applyFill="1" applyAlignment="1">
      <alignment horizontal="center"/>
    </xf>
  </cellXfs>
  <cellStyles count="2">
    <cellStyle name="Normal" xfId="0" builtinId="0"/>
    <cellStyle name="Percent" xfId="1" builtinId="5"/>
  </cellStyles>
  <dxfs count="2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13DA-4855-BE59-38209B053CC4}"/>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Average Evaluation Scores by Zone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3648293963254"/>
          <c:y val="7.407407407407407E-2"/>
          <c:w val="0.78645603674540687"/>
          <c:h val="0.8416746864975212"/>
        </c:manualLayout>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errBars>
            <c:errBarType val="both"/>
            <c:errValType val="fixedVal"/>
            <c:noEndCap val="0"/>
            <c:val val="2"/>
            <c:spPr>
              <a:noFill/>
              <a:ln w="9525" cap="flat" cmpd="sng" algn="ctr">
                <a:solidFill>
                  <a:schemeClr val="tx1">
                    <a:lumMod val="65000"/>
                    <a:lumOff val="35000"/>
                  </a:schemeClr>
                </a:solidFill>
                <a:round/>
              </a:ln>
              <a:effectLst/>
            </c:spPr>
          </c:errBars>
          <c:cat>
            <c:strLit>
              <c:ptCount val="4"/>
              <c:pt idx="0">
                <c:v>East</c:v>
              </c:pt>
              <c:pt idx="1">
                <c:v>North</c:v>
              </c:pt>
              <c:pt idx="2">
                <c:v>South</c:v>
              </c:pt>
              <c:pt idx="3">
                <c:v>West</c:v>
              </c:pt>
            </c:strLit>
          </c:cat>
          <c:val>
            <c:numLit>
              <c:formatCode>General</c:formatCode>
              <c:ptCount val="4"/>
              <c:pt idx="0">
                <c:v>71.571428571428569</c:v>
              </c:pt>
              <c:pt idx="1">
                <c:v>76.736842105263165</c:v>
              </c:pt>
              <c:pt idx="2">
                <c:v>66.611111111111114</c:v>
              </c:pt>
              <c:pt idx="3">
                <c:v>71.82352941176471</c:v>
              </c:pt>
            </c:numLit>
          </c:val>
          <c:extLst>
            <c:ext xmlns:c16="http://schemas.microsoft.com/office/drawing/2014/chart" uri="{C3380CC4-5D6E-409C-BE32-E72D297353CC}">
              <c16:uniqueId val="{00000000-B7B0-4EBC-B79B-B4DEE0C56497}"/>
            </c:ext>
          </c:extLst>
        </c:ser>
        <c:dLbls>
          <c:showLegendKey val="0"/>
          <c:showVal val="0"/>
          <c:showCatName val="0"/>
          <c:showSerName val="0"/>
          <c:showPercent val="0"/>
          <c:showBubbleSize val="0"/>
        </c:dLbls>
        <c:gapWidth val="150"/>
        <c:overlap val="100"/>
        <c:axId val="1050545216"/>
        <c:axId val="1050545632"/>
      </c:barChart>
      <c:catAx>
        <c:axId val="1050545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45632"/>
        <c:crosses val="autoZero"/>
        <c:auto val="1"/>
        <c:lblAlgn val="ctr"/>
        <c:lblOffset val="100"/>
        <c:noMultiLvlLbl val="0"/>
      </c:catAx>
      <c:valAx>
        <c:axId val="105054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Percentage of Top Performers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2"/>
          <c:order val="2"/>
          <c:tx>
            <c:strRef>
              <c:f>'Task 2 Sheet2'!$B$78</c:f>
              <c:strCache>
                <c:ptCount val="1"/>
                <c:pt idx="0">
                  <c:v>% of Top Performers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45-45CC-AF13-6ED17BA486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45-45CC-AF13-6ED17BA486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45-45CC-AF13-6ED17BA486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45-45CC-AF13-6ED17BA486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 Sheet2'!$C$75:$F$75</c:f>
              <c:strCache>
                <c:ptCount val="4"/>
                <c:pt idx="0">
                  <c:v>East</c:v>
                </c:pt>
                <c:pt idx="1">
                  <c:v>North</c:v>
                </c:pt>
                <c:pt idx="2">
                  <c:v>South</c:v>
                </c:pt>
                <c:pt idx="3">
                  <c:v>West</c:v>
                </c:pt>
              </c:strCache>
            </c:strRef>
          </c:cat>
          <c:val>
            <c:numRef>
              <c:f>'Task 2 Sheet2'!$C$78:$F$78</c:f>
              <c:numCache>
                <c:formatCode>0%</c:formatCode>
                <c:ptCount val="4"/>
                <c:pt idx="0">
                  <c:v>0.2857142857142857</c:v>
                </c:pt>
                <c:pt idx="1">
                  <c:v>0.35294117647058826</c:v>
                </c:pt>
                <c:pt idx="2">
                  <c:v>5.5555555555555552E-2</c:v>
                </c:pt>
                <c:pt idx="3">
                  <c:v>0.11764705882352941</c:v>
                </c:pt>
              </c:numCache>
            </c:numRef>
          </c:val>
          <c:extLst>
            <c:ext xmlns:c16="http://schemas.microsoft.com/office/drawing/2014/chart" uri="{C3380CC4-5D6E-409C-BE32-E72D297353CC}">
              <c16:uniqueId val="{00000008-DF45-45CC-AF13-6ED17BA48686}"/>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'Task 2 Sheet2'!$B$76</c15:sqref>
                        </c15:formulaRef>
                      </c:ext>
                    </c:extLst>
                    <c:strCache>
                      <c:ptCount val="1"/>
                      <c:pt idx="0">
                        <c:v>Top Performers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F45-45CC-AF13-6ED17BA486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F45-45CC-AF13-6ED17BA486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DF45-45CC-AF13-6ED17BA486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DF45-45CC-AF13-6ED17BA486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'Task 2 Sheet2'!$C$75:$F$75</c15:sqref>
                        </c15:formulaRef>
                      </c:ext>
                    </c:extLst>
                    <c:strCache>
                      <c:ptCount val="4"/>
                      <c:pt idx="0">
                        <c:v>East</c:v>
                      </c:pt>
                      <c:pt idx="1">
                        <c:v>North</c:v>
                      </c:pt>
                      <c:pt idx="2">
                        <c:v>South</c:v>
                      </c:pt>
                      <c:pt idx="3">
                        <c:v>West</c:v>
                      </c:pt>
                    </c:strCache>
                  </c:strRef>
                </c:cat>
                <c:val>
                  <c:numRef>
                    <c:extLst>
                      <c:ext uri="{02D57815-91ED-43cb-92C2-25804820EDAC}">
                        <c15:formulaRef>
                          <c15:sqref>'Task 2 Sheet2'!$C$76:$F$76</c15:sqref>
                        </c15:formulaRef>
                      </c:ext>
                    </c:extLst>
                    <c:numCache>
                      <c:formatCode>General</c:formatCode>
                      <c:ptCount val="4"/>
                      <c:pt idx="0">
                        <c:v>2</c:v>
                      </c:pt>
                      <c:pt idx="1">
                        <c:v>6</c:v>
                      </c:pt>
                      <c:pt idx="2">
                        <c:v>1</c:v>
                      </c:pt>
                      <c:pt idx="3">
                        <c:v>2</c:v>
                      </c:pt>
                    </c:numCache>
                  </c:numRef>
                </c:val>
                <c:extLst>
                  <c:ext xmlns:c16="http://schemas.microsoft.com/office/drawing/2014/chart" uri="{C3380CC4-5D6E-409C-BE32-E72D297353CC}">
                    <c16:uniqueId val="{00000011-DF45-45CC-AF13-6ED17BA48686}"/>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'Task 2 Sheet2'!$B$77</c15:sqref>
                        </c15:formulaRef>
                      </c:ext>
                    </c:extLst>
                    <c:strCache>
                      <c:ptCount val="1"/>
                      <c:pt idx="0">
                        <c:v>Total Style Advisors</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3-DF45-45CC-AF13-6ED17BA4868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5-DF45-45CC-AF13-6ED17BA48686}"/>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7-DF45-45CC-AF13-6ED17BA48686}"/>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19-DF45-45CC-AF13-6ED17BA486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 2 Sheet2'!$C$75:$F$75</c15:sqref>
                        </c15:formulaRef>
                      </c:ext>
                    </c:extLst>
                    <c:strCache>
                      <c:ptCount val="4"/>
                      <c:pt idx="0">
                        <c:v>East</c:v>
                      </c:pt>
                      <c:pt idx="1">
                        <c:v>North</c:v>
                      </c:pt>
                      <c:pt idx="2">
                        <c:v>South</c:v>
                      </c:pt>
                      <c:pt idx="3">
                        <c:v>West</c:v>
                      </c:pt>
                    </c:strCache>
                  </c:strRef>
                </c:cat>
                <c:val>
                  <c:numRef>
                    <c:extLst xmlns:c15="http://schemas.microsoft.com/office/drawing/2012/chart">
                      <c:ext xmlns:c15="http://schemas.microsoft.com/office/drawing/2012/chart" uri="{02D57815-91ED-43cb-92C2-25804820EDAC}">
                        <c15:formulaRef>
                          <c15:sqref>'Task 2 Sheet2'!$C$77:$F$77</c15:sqref>
                        </c15:formulaRef>
                      </c:ext>
                    </c:extLst>
                    <c:numCache>
                      <c:formatCode>General</c:formatCode>
                      <c:ptCount val="4"/>
                      <c:pt idx="0">
                        <c:v>7</c:v>
                      </c:pt>
                      <c:pt idx="1">
                        <c:v>17</c:v>
                      </c:pt>
                      <c:pt idx="2">
                        <c:v>18</c:v>
                      </c:pt>
                      <c:pt idx="3">
                        <c:v>17</c:v>
                      </c:pt>
                    </c:numCache>
                  </c:numRef>
                </c:val>
                <c:extLst xmlns:c15="http://schemas.microsoft.com/office/drawing/2012/chart">
                  <c:ext xmlns:c16="http://schemas.microsoft.com/office/drawing/2014/chart" uri="{C3380CC4-5D6E-409C-BE32-E72D297353CC}">
                    <c16:uniqueId val="{0000001A-DF45-45CC-AF13-6ED17BA48686}"/>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rgbClr val="00B050"/>
                </a:solidFill>
              </a:rPr>
              <a:t>Performance score over time</a:t>
            </a:r>
          </a:p>
        </c:rich>
      </c:tx>
      <c:layout>
        <c:manualLayout>
          <c:xMode val="edge"/>
          <c:yMode val="edge"/>
          <c:x val="0.23169444444444445"/>
          <c:y val="3.70370370370370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 Pivot Table'!$I$12</c:f>
              <c:strCache>
                <c:ptCount val="1"/>
                <c:pt idx="0">
                  <c:v>Time Duration in Mins ASC</c:v>
                </c:pt>
              </c:strCache>
            </c:strRef>
          </c:tx>
          <c:spPr>
            <a:solidFill>
              <a:schemeClr val="accent1"/>
            </a:solidFill>
            <a:ln>
              <a:noFill/>
            </a:ln>
            <a:effectLst/>
          </c:spPr>
          <c:invertIfNegative val="0"/>
          <c:val>
            <c:numRef>
              <c:f>'Calculation Pivot Table'!$I$13:$I$73</c:f>
              <c:numCache>
                <c:formatCode>General</c:formatCode>
                <c:ptCount val="61"/>
                <c:pt idx="0">
                  <c:v>10</c:v>
                </c:pt>
                <c:pt idx="1">
                  <c:v>10</c:v>
                </c:pt>
                <c:pt idx="2">
                  <c:v>12</c:v>
                </c:pt>
                <c:pt idx="3">
                  <c:v>15</c:v>
                </c:pt>
                <c:pt idx="4">
                  <c:v>15</c:v>
                </c:pt>
                <c:pt idx="5">
                  <c:v>15</c:v>
                </c:pt>
                <c:pt idx="6">
                  <c:v>15</c:v>
                </c:pt>
                <c:pt idx="7">
                  <c:v>15</c:v>
                </c:pt>
                <c:pt idx="8">
                  <c:v>16</c:v>
                </c:pt>
                <c:pt idx="9">
                  <c:v>16</c:v>
                </c:pt>
                <c:pt idx="10">
                  <c:v>17</c:v>
                </c:pt>
                <c:pt idx="11">
                  <c:v>17</c:v>
                </c:pt>
                <c:pt idx="12">
                  <c:v>18</c:v>
                </c:pt>
                <c:pt idx="13">
                  <c:v>19</c:v>
                </c:pt>
                <c:pt idx="14">
                  <c:v>20</c:v>
                </c:pt>
                <c:pt idx="15">
                  <c:v>20</c:v>
                </c:pt>
                <c:pt idx="16">
                  <c:v>21</c:v>
                </c:pt>
                <c:pt idx="17">
                  <c:v>21</c:v>
                </c:pt>
                <c:pt idx="18">
                  <c:v>21</c:v>
                </c:pt>
                <c:pt idx="19">
                  <c:v>22</c:v>
                </c:pt>
                <c:pt idx="20">
                  <c:v>22</c:v>
                </c:pt>
                <c:pt idx="21">
                  <c:v>22</c:v>
                </c:pt>
                <c:pt idx="22">
                  <c:v>23</c:v>
                </c:pt>
                <c:pt idx="23">
                  <c:v>23</c:v>
                </c:pt>
                <c:pt idx="24">
                  <c:v>24</c:v>
                </c:pt>
                <c:pt idx="25">
                  <c:v>24</c:v>
                </c:pt>
                <c:pt idx="26">
                  <c:v>24</c:v>
                </c:pt>
                <c:pt idx="27">
                  <c:v>25</c:v>
                </c:pt>
                <c:pt idx="28">
                  <c:v>25</c:v>
                </c:pt>
                <c:pt idx="29">
                  <c:v>25</c:v>
                </c:pt>
                <c:pt idx="30">
                  <c:v>25</c:v>
                </c:pt>
                <c:pt idx="31">
                  <c:v>25</c:v>
                </c:pt>
                <c:pt idx="32">
                  <c:v>25</c:v>
                </c:pt>
                <c:pt idx="33">
                  <c:v>25</c:v>
                </c:pt>
                <c:pt idx="34">
                  <c:v>25</c:v>
                </c:pt>
                <c:pt idx="35">
                  <c:v>25</c:v>
                </c:pt>
                <c:pt idx="36">
                  <c:v>26</c:v>
                </c:pt>
                <c:pt idx="37">
                  <c:v>28</c:v>
                </c:pt>
                <c:pt idx="38">
                  <c:v>28</c:v>
                </c:pt>
                <c:pt idx="39">
                  <c:v>28</c:v>
                </c:pt>
                <c:pt idx="40">
                  <c:v>28</c:v>
                </c:pt>
                <c:pt idx="41">
                  <c:v>29</c:v>
                </c:pt>
                <c:pt idx="42">
                  <c:v>29</c:v>
                </c:pt>
                <c:pt idx="43">
                  <c:v>30</c:v>
                </c:pt>
                <c:pt idx="44">
                  <c:v>30</c:v>
                </c:pt>
                <c:pt idx="45">
                  <c:v>30</c:v>
                </c:pt>
                <c:pt idx="46">
                  <c:v>31</c:v>
                </c:pt>
                <c:pt idx="47">
                  <c:v>31</c:v>
                </c:pt>
                <c:pt idx="48">
                  <c:v>32</c:v>
                </c:pt>
                <c:pt idx="49">
                  <c:v>32</c:v>
                </c:pt>
                <c:pt idx="50">
                  <c:v>34</c:v>
                </c:pt>
                <c:pt idx="51">
                  <c:v>34</c:v>
                </c:pt>
                <c:pt idx="52">
                  <c:v>35</c:v>
                </c:pt>
                <c:pt idx="53">
                  <c:v>35</c:v>
                </c:pt>
                <c:pt idx="54">
                  <c:v>38</c:v>
                </c:pt>
                <c:pt idx="55">
                  <c:v>40</c:v>
                </c:pt>
                <c:pt idx="56">
                  <c:v>45</c:v>
                </c:pt>
                <c:pt idx="57">
                  <c:v>51</c:v>
                </c:pt>
                <c:pt idx="58">
                  <c:v>54</c:v>
                </c:pt>
                <c:pt idx="59">
                  <c:v>58</c:v>
                </c:pt>
                <c:pt idx="60">
                  <c:v>76</c:v>
                </c:pt>
              </c:numCache>
            </c:numRef>
          </c:val>
          <c:extLst>
            <c:ext xmlns:c16="http://schemas.microsoft.com/office/drawing/2014/chart" uri="{C3380CC4-5D6E-409C-BE32-E72D297353CC}">
              <c16:uniqueId val="{00000000-DAB2-4BAC-B1D6-988015347C9F}"/>
            </c:ext>
          </c:extLst>
        </c:ser>
        <c:dLbls>
          <c:showLegendKey val="0"/>
          <c:showVal val="0"/>
          <c:showCatName val="0"/>
          <c:showSerName val="0"/>
          <c:showPercent val="0"/>
          <c:showBubbleSize val="0"/>
        </c:dLbls>
        <c:gapWidth val="150"/>
        <c:axId val="1136169168"/>
        <c:axId val="1136165840"/>
      </c:barChart>
      <c:lineChart>
        <c:grouping val="standard"/>
        <c:varyColors val="0"/>
        <c:ser>
          <c:idx val="1"/>
          <c:order val="1"/>
          <c:tx>
            <c:strRef>
              <c:f>'Calculation Pivot Table'!$J$12</c:f>
              <c:strCache>
                <c:ptCount val="1"/>
                <c:pt idx="0">
                  <c:v>Performance Score</c:v>
                </c:pt>
              </c:strCache>
            </c:strRef>
          </c:tx>
          <c:spPr>
            <a:ln w="28575" cap="rnd">
              <a:solidFill>
                <a:schemeClr val="accent2"/>
              </a:solidFill>
              <a:round/>
            </a:ln>
            <a:effectLst/>
          </c:spPr>
          <c:marker>
            <c:symbol val="none"/>
          </c:marker>
          <c:val>
            <c:numRef>
              <c:f>'Calculation Pivot Table'!$J$13:$J$73</c:f>
              <c:numCache>
                <c:formatCode>0.0</c:formatCode>
                <c:ptCount val="61"/>
                <c:pt idx="0">
                  <c:v>65.875</c:v>
                </c:pt>
                <c:pt idx="1">
                  <c:v>26.375</c:v>
                </c:pt>
                <c:pt idx="2">
                  <c:v>66.25</c:v>
                </c:pt>
                <c:pt idx="3">
                  <c:v>24.125</c:v>
                </c:pt>
                <c:pt idx="4">
                  <c:v>28</c:v>
                </c:pt>
                <c:pt idx="5">
                  <c:v>76</c:v>
                </c:pt>
                <c:pt idx="6">
                  <c:v>76</c:v>
                </c:pt>
                <c:pt idx="7">
                  <c:v>76.75</c:v>
                </c:pt>
                <c:pt idx="8">
                  <c:v>91.75</c:v>
                </c:pt>
                <c:pt idx="9">
                  <c:v>64.25</c:v>
                </c:pt>
                <c:pt idx="10">
                  <c:v>57.5</c:v>
                </c:pt>
                <c:pt idx="11">
                  <c:v>64.375</c:v>
                </c:pt>
                <c:pt idx="12">
                  <c:v>74.625</c:v>
                </c:pt>
                <c:pt idx="13">
                  <c:v>66.875</c:v>
                </c:pt>
                <c:pt idx="14">
                  <c:v>81.75</c:v>
                </c:pt>
                <c:pt idx="15">
                  <c:v>66.625</c:v>
                </c:pt>
                <c:pt idx="16">
                  <c:v>84</c:v>
                </c:pt>
                <c:pt idx="17">
                  <c:v>95.5</c:v>
                </c:pt>
                <c:pt idx="18">
                  <c:v>90.125</c:v>
                </c:pt>
                <c:pt idx="19">
                  <c:v>88.125</c:v>
                </c:pt>
                <c:pt idx="20">
                  <c:v>100</c:v>
                </c:pt>
                <c:pt idx="21">
                  <c:v>28.25</c:v>
                </c:pt>
                <c:pt idx="22">
                  <c:v>53.75</c:v>
                </c:pt>
                <c:pt idx="23">
                  <c:v>94.75</c:v>
                </c:pt>
                <c:pt idx="24">
                  <c:v>56.625</c:v>
                </c:pt>
                <c:pt idx="25">
                  <c:v>95.875</c:v>
                </c:pt>
                <c:pt idx="26">
                  <c:v>88.125</c:v>
                </c:pt>
                <c:pt idx="27">
                  <c:v>86.375</c:v>
                </c:pt>
                <c:pt idx="28">
                  <c:v>66.125</c:v>
                </c:pt>
                <c:pt idx="29">
                  <c:v>68.25</c:v>
                </c:pt>
                <c:pt idx="30">
                  <c:v>90.375</c:v>
                </c:pt>
                <c:pt idx="31">
                  <c:v>94.125</c:v>
                </c:pt>
                <c:pt idx="32">
                  <c:v>87.75</c:v>
                </c:pt>
                <c:pt idx="33">
                  <c:v>33.375</c:v>
                </c:pt>
                <c:pt idx="34">
                  <c:v>60.375</c:v>
                </c:pt>
                <c:pt idx="35">
                  <c:v>94.375</c:v>
                </c:pt>
                <c:pt idx="36">
                  <c:v>90.125</c:v>
                </c:pt>
                <c:pt idx="37">
                  <c:v>66.375</c:v>
                </c:pt>
                <c:pt idx="38">
                  <c:v>67.75</c:v>
                </c:pt>
                <c:pt idx="39">
                  <c:v>72.75</c:v>
                </c:pt>
                <c:pt idx="40">
                  <c:v>65.75</c:v>
                </c:pt>
                <c:pt idx="41">
                  <c:v>77.625</c:v>
                </c:pt>
                <c:pt idx="42">
                  <c:v>61.75</c:v>
                </c:pt>
                <c:pt idx="43">
                  <c:v>56.875</c:v>
                </c:pt>
                <c:pt idx="44">
                  <c:v>27</c:v>
                </c:pt>
                <c:pt idx="45">
                  <c:v>26.25</c:v>
                </c:pt>
                <c:pt idx="46">
                  <c:v>87.5</c:v>
                </c:pt>
                <c:pt idx="47">
                  <c:v>84.75</c:v>
                </c:pt>
                <c:pt idx="48">
                  <c:v>81.75</c:v>
                </c:pt>
                <c:pt idx="49">
                  <c:v>87.125</c:v>
                </c:pt>
                <c:pt idx="50">
                  <c:v>81.75</c:v>
                </c:pt>
                <c:pt idx="51">
                  <c:v>83.875</c:v>
                </c:pt>
                <c:pt idx="52">
                  <c:v>87.5</c:v>
                </c:pt>
                <c:pt idx="53">
                  <c:v>75.625</c:v>
                </c:pt>
                <c:pt idx="54">
                  <c:v>78</c:v>
                </c:pt>
                <c:pt idx="55">
                  <c:v>88.375</c:v>
                </c:pt>
                <c:pt idx="56">
                  <c:v>93.75</c:v>
                </c:pt>
                <c:pt idx="57">
                  <c:v>95.375</c:v>
                </c:pt>
                <c:pt idx="58">
                  <c:v>67.875</c:v>
                </c:pt>
                <c:pt idx="59">
                  <c:v>43.375</c:v>
                </c:pt>
                <c:pt idx="60">
                  <c:v>95.375</c:v>
                </c:pt>
              </c:numCache>
            </c:numRef>
          </c:val>
          <c:smooth val="0"/>
          <c:extLst>
            <c:ext xmlns:c16="http://schemas.microsoft.com/office/drawing/2014/chart" uri="{C3380CC4-5D6E-409C-BE32-E72D297353CC}">
              <c16:uniqueId val="{00000001-DAB2-4BAC-B1D6-988015347C9F}"/>
            </c:ext>
          </c:extLst>
        </c:ser>
        <c:dLbls>
          <c:showLegendKey val="0"/>
          <c:showVal val="0"/>
          <c:showCatName val="0"/>
          <c:showSerName val="0"/>
          <c:showPercent val="0"/>
          <c:showBubbleSize val="0"/>
        </c:dLbls>
        <c:marker val="1"/>
        <c:smooth val="0"/>
        <c:axId val="1136169168"/>
        <c:axId val="1136165840"/>
      </c:lineChart>
      <c:catAx>
        <c:axId val="11361691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165840"/>
        <c:crosses val="autoZero"/>
        <c:auto val="1"/>
        <c:lblAlgn val="ctr"/>
        <c:lblOffset val="100"/>
        <c:noMultiLvlLbl val="0"/>
      </c:catAx>
      <c:valAx>
        <c:axId val="113616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16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Evaluation score and Average performance score</a:t>
            </a:r>
          </a:p>
        </c:rich>
      </c:tx>
      <c:layout>
        <c:manualLayout>
          <c:xMode val="edge"/>
          <c:yMode val="edge"/>
          <c:x val="0.34433463781099216"/>
          <c:y val="2.2950819672131147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 Pivot Table'!$C$77</c:f>
              <c:strCache>
                <c:ptCount val="1"/>
                <c:pt idx="0">
                  <c:v>Evaluation_Score</c:v>
                </c:pt>
              </c:strCache>
            </c:strRef>
          </c:tx>
          <c:spPr>
            <a:solidFill>
              <a:schemeClr val="accent1"/>
            </a:solidFill>
            <a:ln>
              <a:noFill/>
            </a:ln>
            <a:effectLst/>
          </c:spPr>
          <c:invertIfNegative val="0"/>
          <c:cat>
            <c:strRef>
              <c:f>'Calculation Pivot Table'!$B$78:$B$138</c:f>
              <c:strCache>
                <c:ptCount val="61"/>
                <c:pt idx="0">
                  <c:v>Kamal</c:v>
                </c:pt>
                <c:pt idx="1">
                  <c:v>Sanket Patel</c:v>
                </c:pt>
                <c:pt idx="2">
                  <c:v>Mahesh</c:v>
                </c:pt>
                <c:pt idx="3">
                  <c:v>Sonali</c:v>
                </c:pt>
                <c:pt idx="4">
                  <c:v>Jateen</c:v>
                </c:pt>
                <c:pt idx="5">
                  <c:v>Rizwan</c:v>
                </c:pt>
                <c:pt idx="6">
                  <c:v>Mohsin</c:v>
                </c:pt>
                <c:pt idx="7">
                  <c:v>Keneth</c:v>
                </c:pt>
                <c:pt idx="8">
                  <c:v>Rakesh</c:v>
                </c:pt>
                <c:pt idx="9">
                  <c:v>Rashid</c:v>
                </c:pt>
                <c:pt idx="10">
                  <c:v>Gaurav</c:v>
                </c:pt>
                <c:pt idx="11">
                  <c:v>Kiran</c:v>
                </c:pt>
                <c:pt idx="12">
                  <c:v>Sanit Saji</c:v>
                </c:pt>
                <c:pt idx="13">
                  <c:v>Asif</c:v>
                </c:pt>
                <c:pt idx="14">
                  <c:v>Yasin Kaif</c:v>
                </c:pt>
                <c:pt idx="15">
                  <c:v>Bablu</c:v>
                </c:pt>
                <c:pt idx="16">
                  <c:v>Nagraj</c:v>
                </c:pt>
                <c:pt idx="17">
                  <c:v>Ashish</c:v>
                </c:pt>
                <c:pt idx="18">
                  <c:v>Sunil</c:v>
                </c:pt>
                <c:pt idx="19">
                  <c:v>Kamal</c:v>
                </c:pt>
                <c:pt idx="20">
                  <c:v>Neeraj</c:v>
                </c:pt>
                <c:pt idx="21">
                  <c:v>Sanjeev</c:v>
                </c:pt>
                <c:pt idx="22">
                  <c:v>Neeraj</c:v>
                </c:pt>
                <c:pt idx="23">
                  <c:v>Ajeet</c:v>
                </c:pt>
                <c:pt idx="24">
                  <c:v>Deepak</c:v>
                </c:pt>
                <c:pt idx="25">
                  <c:v>Rajiv</c:v>
                </c:pt>
                <c:pt idx="26">
                  <c:v>Satyam</c:v>
                </c:pt>
                <c:pt idx="27">
                  <c:v>Hari</c:v>
                </c:pt>
                <c:pt idx="28">
                  <c:v>Probin</c:v>
                </c:pt>
                <c:pt idx="29">
                  <c:v>Raj Roushan</c:v>
                </c:pt>
                <c:pt idx="30">
                  <c:v>Lukman</c:v>
                </c:pt>
                <c:pt idx="31">
                  <c:v>Rohit</c:v>
                </c:pt>
                <c:pt idx="32">
                  <c:v>Santosh</c:v>
                </c:pt>
                <c:pt idx="33">
                  <c:v>Samir Pathan</c:v>
                </c:pt>
                <c:pt idx="34">
                  <c:v>Sagar Prathak</c:v>
                </c:pt>
                <c:pt idx="35">
                  <c:v>Santosh Jadhav</c:v>
                </c:pt>
                <c:pt idx="36">
                  <c:v>Suresh</c:v>
                </c:pt>
                <c:pt idx="37">
                  <c:v>The style advisor did not mention his name.</c:v>
                </c:pt>
                <c:pt idx="38">
                  <c:v>Ali</c:v>
                </c:pt>
                <c:pt idx="39">
                  <c:v>Fariz</c:v>
                </c:pt>
                <c:pt idx="40">
                  <c:v>Abhay</c:v>
                </c:pt>
                <c:pt idx="41">
                  <c:v>Rafi</c:v>
                </c:pt>
                <c:pt idx="42">
                  <c:v>Sanjit</c:v>
                </c:pt>
                <c:pt idx="43">
                  <c:v>Suman</c:v>
                </c:pt>
                <c:pt idx="44">
                  <c:v>Yogesh</c:v>
                </c:pt>
                <c:pt idx="45">
                  <c:v>Rohit</c:v>
                </c:pt>
                <c:pt idx="46">
                  <c:v>Muskan</c:v>
                </c:pt>
                <c:pt idx="47">
                  <c:v>Rahul</c:v>
                </c:pt>
                <c:pt idx="48">
                  <c:v>Nitesh</c:v>
                </c:pt>
                <c:pt idx="49">
                  <c:v>Gouse Bhasha</c:v>
                </c:pt>
                <c:pt idx="50">
                  <c:v>Suraj</c:v>
                </c:pt>
                <c:pt idx="51">
                  <c:v>Priyanka</c:v>
                </c:pt>
                <c:pt idx="52">
                  <c:v>Vijay K</c:v>
                </c:pt>
                <c:pt idx="53">
                  <c:v>Aneesh Jayanth</c:v>
                </c:pt>
                <c:pt idx="54">
                  <c:v>Varinder</c:v>
                </c:pt>
                <c:pt idx="55">
                  <c:v>Vasudev</c:v>
                </c:pt>
                <c:pt idx="56">
                  <c:v>Senthil Kumar</c:v>
                </c:pt>
                <c:pt idx="57">
                  <c:v>Anju Gurung</c:v>
                </c:pt>
                <c:pt idx="58">
                  <c:v>Mr. Girish</c:v>
                </c:pt>
                <c:pt idx="59">
                  <c:v>Yash</c:v>
                </c:pt>
                <c:pt idx="60">
                  <c:v>Arbaaz</c:v>
                </c:pt>
              </c:strCache>
            </c:strRef>
          </c:cat>
          <c:val>
            <c:numRef>
              <c:f>'Calculation Pivot Table'!$C$78:$C$138</c:f>
              <c:numCache>
                <c:formatCode>General</c:formatCode>
                <c:ptCount val="61"/>
                <c:pt idx="0">
                  <c:v>58</c:v>
                </c:pt>
                <c:pt idx="1">
                  <c:v>86</c:v>
                </c:pt>
                <c:pt idx="2">
                  <c:v>72</c:v>
                </c:pt>
                <c:pt idx="3">
                  <c:v>84</c:v>
                </c:pt>
                <c:pt idx="4">
                  <c:v>84</c:v>
                </c:pt>
                <c:pt idx="5">
                  <c:v>90</c:v>
                </c:pt>
                <c:pt idx="6">
                  <c:v>36</c:v>
                </c:pt>
                <c:pt idx="7">
                  <c:v>34</c:v>
                </c:pt>
                <c:pt idx="8">
                  <c:v>74</c:v>
                </c:pt>
                <c:pt idx="9">
                  <c:v>74</c:v>
                </c:pt>
                <c:pt idx="10">
                  <c:v>86</c:v>
                </c:pt>
                <c:pt idx="11">
                  <c:v>70</c:v>
                </c:pt>
                <c:pt idx="12">
                  <c:v>84</c:v>
                </c:pt>
                <c:pt idx="13">
                  <c:v>78</c:v>
                </c:pt>
                <c:pt idx="14">
                  <c:v>61</c:v>
                </c:pt>
                <c:pt idx="15">
                  <c:v>78</c:v>
                </c:pt>
                <c:pt idx="16">
                  <c:v>89</c:v>
                </c:pt>
                <c:pt idx="17">
                  <c:v>65</c:v>
                </c:pt>
                <c:pt idx="18">
                  <c:v>76</c:v>
                </c:pt>
                <c:pt idx="19">
                  <c:v>82</c:v>
                </c:pt>
                <c:pt idx="20">
                  <c:v>88</c:v>
                </c:pt>
                <c:pt idx="21">
                  <c:v>71</c:v>
                </c:pt>
                <c:pt idx="22">
                  <c:v>67</c:v>
                </c:pt>
                <c:pt idx="23">
                  <c:v>60</c:v>
                </c:pt>
                <c:pt idx="24">
                  <c:v>81</c:v>
                </c:pt>
                <c:pt idx="25">
                  <c:v>78</c:v>
                </c:pt>
                <c:pt idx="26">
                  <c:v>92</c:v>
                </c:pt>
                <c:pt idx="27">
                  <c:v>59</c:v>
                </c:pt>
                <c:pt idx="28">
                  <c:v>33</c:v>
                </c:pt>
                <c:pt idx="29">
                  <c:v>64</c:v>
                </c:pt>
                <c:pt idx="30">
                  <c:v>69</c:v>
                </c:pt>
                <c:pt idx="31">
                  <c:v>83</c:v>
                </c:pt>
                <c:pt idx="32">
                  <c:v>94</c:v>
                </c:pt>
                <c:pt idx="33">
                  <c:v>80</c:v>
                </c:pt>
                <c:pt idx="34">
                  <c:v>82</c:v>
                </c:pt>
                <c:pt idx="35">
                  <c:v>84</c:v>
                </c:pt>
                <c:pt idx="36">
                  <c:v>73</c:v>
                </c:pt>
                <c:pt idx="37">
                  <c:v>39</c:v>
                </c:pt>
                <c:pt idx="38">
                  <c:v>71</c:v>
                </c:pt>
                <c:pt idx="39">
                  <c:v>100</c:v>
                </c:pt>
                <c:pt idx="40">
                  <c:v>94</c:v>
                </c:pt>
                <c:pt idx="41">
                  <c:v>52</c:v>
                </c:pt>
                <c:pt idx="42">
                  <c:v>62</c:v>
                </c:pt>
                <c:pt idx="43">
                  <c:v>94</c:v>
                </c:pt>
                <c:pt idx="44">
                  <c:v>86</c:v>
                </c:pt>
                <c:pt idx="45">
                  <c:v>94</c:v>
                </c:pt>
                <c:pt idx="46">
                  <c:v>41</c:v>
                </c:pt>
                <c:pt idx="47">
                  <c:v>69</c:v>
                </c:pt>
                <c:pt idx="48">
                  <c:v>69</c:v>
                </c:pt>
                <c:pt idx="49">
                  <c:v>61</c:v>
                </c:pt>
                <c:pt idx="50">
                  <c:v>92</c:v>
                </c:pt>
                <c:pt idx="51">
                  <c:v>96</c:v>
                </c:pt>
                <c:pt idx="52">
                  <c:v>34</c:v>
                </c:pt>
                <c:pt idx="53">
                  <c:v>53</c:v>
                </c:pt>
                <c:pt idx="54">
                  <c:v>94</c:v>
                </c:pt>
                <c:pt idx="55">
                  <c:v>61</c:v>
                </c:pt>
                <c:pt idx="56">
                  <c:v>88</c:v>
                </c:pt>
                <c:pt idx="57">
                  <c:v>77</c:v>
                </c:pt>
                <c:pt idx="58">
                  <c:v>33</c:v>
                </c:pt>
                <c:pt idx="59">
                  <c:v>35</c:v>
                </c:pt>
                <c:pt idx="60">
                  <c:v>65</c:v>
                </c:pt>
              </c:numCache>
            </c:numRef>
          </c:val>
          <c:extLst>
            <c:ext xmlns:c16="http://schemas.microsoft.com/office/drawing/2014/chart" uri="{C3380CC4-5D6E-409C-BE32-E72D297353CC}">
              <c16:uniqueId val="{00000000-77E4-4450-A1BB-09B39AB52384}"/>
            </c:ext>
          </c:extLst>
        </c:ser>
        <c:dLbls>
          <c:showLegendKey val="0"/>
          <c:showVal val="0"/>
          <c:showCatName val="0"/>
          <c:showSerName val="0"/>
          <c:showPercent val="0"/>
          <c:showBubbleSize val="0"/>
        </c:dLbls>
        <c:gapWidth val="150"/>
        <c:axId val="1195547792"/>
        <c:axId val="1195549040"/>
      </c:barChart>
      <c:lineChart>
        <c:grouping val="standard"/>
        <c:varyColors val="0"/>
        <c:ser>
          <c:idx val="1"/>
          <c:order val="1"/>
          <c:tx>
            <c:strRef>
              <c:f>'Calculation Pivot Table'!$D$77</c:f>
              <c:strCache>
                <c:ptCount val="1"/>
                <c:pt idx="0">
                  <c:v>Performance Score</c:v>
                </c:pt>
              </c:strCache>
            </c:strRef>
          </c:tx>
          <c:spPr>
            <a:ln w="28575" cap="rnd">
              <a:solidFill>
                <a:schemeClr val="accent2"/>
              </a:solidFill>
              <a:round/>
            </a:ln>
            <a:effectLst/>
          </c:spPr>
          <c:marker>
            <c:symbol val="none"/>
          </c:marker>
          <c:cat>
            <c:strRef>
              <c:f>'Calculation Pivot Table'!$B$78:$B$138</c:f>
              <c:strCache>
                <c:ptCount val="61"/>
                <c:pt idx="0">
                  <c:v>Kamal</c:v>
                </c:pt>
                <c:pt idx="1">
                  <c:v>Sanket Patel</c:v>
                </c:pt>
                <c:pt idx="2">
                  <c:v>Mahesh</c:v>
                </c:pt>
                <c:pt idx="3">
                  <c:v>Sonali</c:v>
                </c:pt>
                <c:pt idx="4">
                  <c:v>Jateen</c:v>
                </c:pt>
                <c:pt idx="5">
                  <c:v>Rizwan</c:v>
                </c:pt>
                <c:pt idx="6">
                  <c:v>Mohsin</c:v>
                </c:pt>
                <c:pt idx="7">
                  <c:v>Keneth</c:v>
                </c:pt>
                <c:pt idx="8">
                  <c:v>Rakesh</c:v>
                </c:pt>
                <c:pt idx="9">
                  <c:v>Rashid</c:v>
                </c:pt>
                <c:pt idx="10">
                  <c:v>Gaurav</c:v>
                </c:pt>
                <c:pt idx="11">
                  <c:v>Kiran</c:v>
                </c:pt>
                <c:pt idx="12">
                  <c:v>Sanit Saji</c:v>
                </c:pt>
                <c:pt idx="13">
                  <c:v>Asif</c:v>
                </c:pt>
                <c:pt idx="14">
                  <c:v>Yasin Kaif</c:v>
                </c:pt>
                <c:pt idx="15">
                  <c:v>Bablu</c:v>
                </c:pt>
                <c:pt idx="16">
                  <c:v>Nagraj</c:v>
                </c:pt>
                <c:pt idx="17">
                  <c:v>Ashish</c:v>
                </c:pt>
                <c:pt idx="18">
                  <c:v>Sunil</c:v>
                </c:pt>
                <c:pt idx="19">
                  <c:v>Kamal</c:v>
                </c:pt>
                <c:pt idx="20">
                  <c:v>Neeraj</c:v>
                </c:pt>
                <c:pt idx="21">
                  <c:v>Sanjeev</c:v>
                </c:pt>
                <c:pt idx="22">
                  <c:v>Neeraj</c:v>
                </c:pt>
                <c:pt idx="23">
                  <c:v>Ajeet</c:v>
                </c:pt>
                <c:pt idx="24">
                  <c:v>Deepak</c:v>
                </c:pt>
                <c:pt idx="25">
                  <c:v>Rajiv</c:v>
                </c:pt>
                <c:pt idx="26">
                  <c:v>Satyam</c:v>
                </c:pt>
                <c:pt idx="27">
                  <c:v>Hari</c:v>
                </c:pt>
                <c:pt idx="28">
                  <c:v>Probin</c:v>
                </c:pt>
                <c:pt idx="29">
                  <c:v>Raj Roushan</c:v>
                </c:pt>
                <c:pt idx="30">
                  <c:v>Lukman</c:v>
                </c:pt>
                <c:pt idx="31">
                  <c:v>Rohit</c:v>
                </c:pt>
                <c:pt idx="32">
                  <c:v>Santosh</c:v>
                </c:pt>
                <c:pt idx="33">
                  <c:v>Samir Pathan</c:v>
                </c:pt>
                <c:pt idx="34">
                  <c:v>Sagar Prathak</c:v>
                </c:pt>
                <c:pt idx="35">
                  <c:v>Santosh Jadhav</c:v>
                </c:pt>
                <c:pt idx="36">
                  <c:v>Suresh</c:v>
                </c:pt>
                <c:pt idx="37">
                  <c:v>The style advisor did not mention his name.</c:v>
                </c:pt>
                <c:pt idx="38">
                  <c:v>Ali</c:v>
                </c:pt>
                <c:pt idx="39">
                  <c:v>Fariz</c:v>
                </c:pt>
                <c:pt idx="40">
                  <c:v>Abhay</c:v>
                </c:pt>
                <c:pt idx="41">
                  <c:v>Rafi</c:v>
                </c:pt>
                <c:pt idx="42">
                  <c:v>Sanjit</c:v>
                </c:pt>
                <c:pt idx="43">
                  <c:v>Suman</c:v>
                </c:pt>
                <c:pt idx="44">
                  <c:v>Yogesh</c:v>
                </c:pt>
                <c:pt idx="45">
                  <c:v>Rohit</c:v>
                </c:pt>
                <c:pt idx="46">
                  <c:v>Muskan</c:v>
                </c:pt>
                <c:pt idx="47">
                  <c:v>Rahul</c:v>
                </c:pt>
                <c:pt idx="48">
                  <c:v>Nitesh</c:v>
                </c:pt>
                <c:pt idx="49">
                  <c:v>Gouse Bhasha</c:v>
                </c:pt>
                <c:pt idx="50">
                  <c:v>Suraj</c:v>
                </c:pt>
                <c:pt idx="51">
                  <c:v>Priyanka</c:v>
                </c:pt>
                <c:pt idx="52">
                  <c:v>Vijay K</c:v>
                </c:pt>
                <c:pt idx="53">
                  <c:v>Aneesh Jayanth</c:v>
                </c:pt>
                <c:pt idx="54">
                  <c:v>Varinder</c:v>
                </c:pt>
                <c:pt idx="55">
                  <c:v>Vasudev</c:v>
                </c:pt>
                <c:pt idx="56">
                  <c:v>Senthil Kumar</c:v>
                </c:pt>
                <c:pt idx="57">
                  <c:v>Anju Gurung</c:v>
                </c:pt>
                <c:pt idx="58">
                  <c:v>Mr. Girish</c:v>
                </c:pt>
                <c:pt idx="59">
                  <c:v>Yash</c:v>
                </c:pt>
                <c:pt idx="60">
                  <c:v>Arbaaz</c:v>
                </c:pt>
              </c:strCache>
            </c:strRef>
          </c:cat>
          <c:val>
            <c:numRef>
              <c:f>'Calculation Pivot Table'!$D$78:$D$138</c:f>
              <c:numCache>
                <c:formatCode>0</c:formatCode>
                <c:ptCount val="61"/>
                <c:pt idx="0">
                  <c:v>57.5</c:v>
                </c:pt>
                <c:pt idx="1">
                  <c:v>88.125</c:v>
                </c:pt>
                <c:pt idx="2">
                  <c:v>74.625</c:v>
                </c:pt>
                <c:pt idx="3">
                  <c:v>87.5</c:v>
                </c:pt>
                <c:pt idx="4">
                  <c:v>87.5</c:v>
                </c:pt>
                <c:pt idx="5">
                  <c:v>91.75</c:v>
                </c:pt>
                <c:pt idx="6">
                  <c:v>24.125</c:v>
                </c:pt>
                <c:pt idx="7">
                  <c:v>28</c:v>
                </c:pt>
                <c:pt idx="8">
                  <c:v>76</c:v>
                </c:pt>
                <c:pt idx="9">
                  <c:v>76</c:v>
                </c:pt>
                <c:pt idx="10">
                  <c:v>90.125</c:v>
                </c:pt>
                <c:pt idx="11">
                  <c:v>76.75</c:v>
                </c:pt>
                <c:pt idx="12">
                  <c:v>86.375</c:v>
                </c:pt>
                <c:pt idx="13">
                  <c:v>81.75</c:v>
                </c:pt>
                <c:pt idx="14">
                  <c:v>66.375</c:v>
                </c:pt>
                <c:pt idx="15">
                  <c:v>78</c:v>
                </c:pt>
                <c:pt idx="16">
                  <c:v>88.375</c:v>
                </c:pt>
                <c:pt idx="17">
                  <c:v>66.125</c:v>
                </c:pt>
                <c:pt idx="18">
                  <c:v>68.25</c:v>
                </c:pt>
                <c:pt idx="19">
                  <c:v>84</c:v>
                </c:pt>
                <c:pt idx="20">
                  <c:v>90.375</c:v>
                </c:pt>
                <c:pt idx="21">
                  <c:v>67.75</c:v>
                </c:pt>
                <c:pt idx="22">
                  <c:v>64.375</c:v>
                </c:pt>
                <c:pt idx="23">
                  <c:v>64.25</c:v>
                </c:pt>
                <c:pt idx="24">
                  <c:v>81.75</c:v>
                </c:pt>
                <c:pt idx="25">
                  <c:v>81.75</c:v>
                </c:pt>
                <c:pt idx="26">
                  <c:v>94.125</c:v>
                </c:pt>
                <c:pt idx="27">
                  <c:v>65.875</c:v>
                </c:pt>
                <c:pt idx="28">
                  <c:v>26.375</c:v>
                </c:pt>
                <c:pt idx="29">
                  <c:v>56.625</c:v>
                </c:pt>
                <c:pt idx="30">
                  <c:v>75.625</c:v>
                </c:pt>
                <c:pt idx="31">
                  <c:v>87.75</c:v>
                </c:pt>
                <c:pt idx="32">
                  <c:v>95.5</c:v>
                </c:pt>
                <c:pt idx="33">
                  <c:v>83.875</c:v>
                </c:pt>
                <c:pt idx="34">
                  <c:v>84.75</c:v>
                </c:pt>
                <c:pt idx="35">
                  <c:v>87.125</c:v>
                </c:pt>
                <c:pt idx="36">
                  <c:v>77.625</c:v>
                </c:pt>
                <c:pt idx="37">
                  <c:v>33.375</c:v>
                </c:pt>
                <c:pt idx="38">
                  <c:v>72.75</c:v>
                </c:pt>
                <c:pt idx="39">
                  <c:v>100</c:v>
                </c:pt>
                <c:pt idx="40">
                  <c:v>95.875</c:v>
                </c:pt>
                <c:pt idx="41">
                  <c:v>60.375</c:v>
                </c:pt>
                <c:pt idx="42">
                  <c:v>53.75</c:v>
                </c:pt>
                <c:pt idx="43">
                  <c:v>95.375</c:v>
                </c:pt>
                <c:pt idx="44">
                  <c:v>88.125</c:v>
                </c:pt>
                <c:pt idx="45">
                  <c:v>94.375</c:v>
                </c:pt>
                <c:pt idx="46">
                  <c:v>43.375</c:v>
                </c:pt>
                <c:pt idx="47">
                  <c:v>66.875</c:v>
                </c:pt>
                <c:pt idx="48">
                  <c:v>66.625</c:v>
                </c:pt>
                <c:pt idx="49">
                  <c:v>65.75</c:v>
                </c:pt>
                <c:pt idx="50">
                  <c:v>93.75</c:v>
                </c:pt>
                <c:pt idx="51">
                  <c:v>95.375</c:v>
                </c:pt>
                <c:pt idx="52">
                  <c:v>28.25</c:v>
                </c:pt>
                <c:pt idx="53">
                  <c:v>56.875</c:v>
                </c:pt>
                <c:pt idx="54">
                  <c:v>94.75</c:v>
                </c:pt>
                <c:pt idx="55">
                  <c:v>61.75</c:v>
                </c:pt>
                <c:pt idx="56">
                  <c:v>90.125</c:v>
                </c:pt>
                <c:pt idx="57">
                  <c:v>67.875</c:v>
                </c:pt>
                <c:pt idx="58">
                  <c:v>27</c:v>
                </c:pt>
                <c:pt idx="59">
                  <c:v>26.25</c:v>
                </c:pt>
                <c:pt idx="60">
                  <c:v>66.25</c:v>
                </c:pt>
              </c:numCache>
            </c:numRef>
          </c:val>
          <c:smooth val="0"/>
          <c:extLst>
            <c:ext xmlns:c16="http://schemas.microsoft.com/office/drawing/2014/chart" uri="{C3380CC4-5D6E-409C-BE32-E72D297353CC}">
              <c16:uniqueId val="{00000001-77E4-4450-A1BB-09B39AB52384}"/>
            </c:ext>
          </c:extLst>
        </c:ser>
        <c:dLbls>
          <c:showLegendKey val="0"/>
          <c:showVal val="0"/>
          <c:showCatName val="0"/>
          <c:showSerName val="0"/>
          <c:showPercent val="0"/>
          <c:showBubbleSize val="0"/>
        </c:dLbls>
        <c:marker val="1"/>
        <c:smooth val="0"/>
        <c:axId val="1195547792"/>
        <c:axId val="1195549040"/>
      </c:lineChart>
      <c:catAx>
        <c:axId val="119554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49040"/>
        <c:crosses val="autoZero"/>
        <c:auto val="1"/>
        <c:lblAlgn val="ctr"/>
        <c:lblOffset val="100"/>
        <c:noMultiLvlLbl val="0"/>
      </c:catAx>
      <c:valAx>
        <c:axId val="119554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4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7030A0"/>
                </a:solidFill>
              </a:rPr>
              <a:t>Comparison of High vs. Low Performers</a:t>
            </a:r>
            <a:endParaRPr lang="en-US" sz="1800" b="1">
              <a:solidFill>
                <a:srgbClr val="7030A0"/>
              </a:solidFill>
            </a:endParaRPr>
          </a:p>
        </c:rich>
      </c:tx>
      <c:layout>
        <c:manualLayout>
          <c:xMode val="edge"/>
          <c:yMode val="edge"/>
          <c:x val="0.15048795552810373"/>
          <c:y val="3.3057851239669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'Calculation Pivot Table'!$B$143</c:f>
              <c:strCache>
                <c:ptCount val="1"/>
                <c:pt idx="0">
                  <c:v>Top Performers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Pivot Table'!$C$142:$F$142</c:f>
              <c:strCache>
                <c:ptCount val="4"/>
                <c:pt idx="0">
                  <c:v>East_Region</c:v>
                </c:pt>
                <c:pt idx="1">
                  <c:v>North _Region</c:v>
                </c:pt>
                <c:pt idx="2">
                  <c:v>South _Region</c:v>
                </c:pt>
                <c:pt idx="3">
                  <c:v>West _Region</c:v>
                </c:pt>
              </c:strCache>
            </c:strRef>
          </c:cat>
          <c:val>
            <c:numRef>
              <c:f>'Calculation Pivot Table'!$C$143:$F$143</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E924-48D7-A22C-7E64A4958993}"/>
            </c:ext>
          </c:extLst>
        </c:ser>
        <c:ser>
          <c:idx val="1"/>
          <c:order val="1"/>
          <c:tx>
            <c:strRef>
              <c:f>'Calculation Pivot Table'!$B$144</c:f>
              <c:strCache>
                <c:ptCount val="1"/>
                <c:pt idx="0">
                  <c:v>Average Performer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Pivot Table'!$C$142:$F$142</c:f>
              <c:strCache>
                <c:ptCount val="4"/>
                <c:pt idx="0">
                  <c:v>East_Region</c:v>
                </c:pt>
                <c:pt idx="1">
                  <c:v>North _Region</c:v>
                </c:pt>
                <c:pt idx="2">
                  <c:v>South _Region</c:v>
                </c:pt>
                <c:pt idx="3">
                  <c:v>West _Region</c:v>
                </c:pt>
              </c:strCache>
            </c:strRef>
          </c:cat>
          <c:val>
            <c:numRef>
              <c:f>'Calculation Pivot Table'!$C$144:$F$144</c:f>
              <c:numCache>
                <c:formatCode>General</c:formatCode>
                <c:ptCount val="4"/>
                <c:pt idx="0">
                  <c:v>1</c:v>
                </c:pt>
                <c:pt idx="1">
                  <c:v>7</c:v>
                </c:pt>
                <c:pt idx="2">
                  <c:v>7</c:v>
                </c:pt>
                <c:pt idx="3">
                  <c:v>9</c:v>
                </c:pt>
              </c:numCache>
            </c:numRef>
          </c:val>
          <c:extLst>
            <c:ext xmlns:c16="http://schemas.microsoft.com/office/drawing/2014/chart" uri="{C3380CC4-5D6E-409C-BE32-E72D297353CC}">
              <c16:uniqueId val="{00000001-E924-48D7-A22C-7E64A4958993}"/>
            </c:ext>
          </c:extLst>
        </c:ser>
        <c:ser>
          <c:idx val="2"/>
          <c:order val="2"/>
          <c:tx>
            <c:strRef>
              <c:f>'Calculation Pivot Table'!$B$145</c:f>
              <c:strCache>
                <c:ptCount val="1"/>
                <c:pt idx="0">
                  <c:v>Low Performer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Pivot Table'!$C$142:$F$142</c:f>
              <c:strCache>
                <c:ptCount val="4"/>
                <c:pt idx="0">
                  <c:v>East_Region</c:v>
                </c:pt>
                <c:pt idx="1">
                  <c:v>North _Region</c:v>
                </c:pt>
                <c:pt idx="2">
                  <c:v>South _Region</c:v>
                </c:pt>
                <c:pt idx="3">
                  <c:v>West _Region</c:v>
                </c:pt>
              </c:strCache>
            </c:strRef>
          </c:cat>
          <c:val>
            <c:numRef>
              <c:f>'Calculation Pivot Table'!$C$145:$F$145</c:f>
              <c:numCache>
                <c:formatCode>General</c:formatCode>
                <c:ptCount val="4"/>
                <c:pt idx="0">
                  <c:v>3</c:v>
                </c:pt>
                <c:pt idx="1">
                  <c:v>3</c:v>
                </c:pt>
                <c:pt idx="2">
                  <c:v>6</c:v>
                </c:pt>
                <c:pt idx="3">
                  <c:v>2</c:v>
                </c:pt>
              </c:numCache>
            </c:numRef>
          </c:val>
          <c:extLst>
            <c:ext xmlns:c16="http://schemas.microsoft.com/office/drawing/2014/chart" uri="{C3380CC4-5D6E-409C-BE32-E72D297353CC}">
              <c16:uniqueId val="{00000002-E924-48D7-A22C-7E64A4958993}"/>
            </c:ext>
          </c:extLst>
        </c:ser>
        <c:ser>
          <c:idx val="3"/>
          <c:order val="3"/>
          <c:tx>
            <c:strRef>
              <c:f>'Calculation Pivot Table'!$B$146</c:f>
              <c:strCache>
                <c:ptCount val="1"/>
                <c:pt idx="0">
                  <c:v>Bottom Performer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Pivot Table'!$C$142:$F$142</c:f>
              <c:strCache>
                <c:ptCount val="4"/>
                <c:pt idx="0">
                  <c:v>East_Region</c:v>
                </c:pt>
                <c:pt idx="1">
                  <c:v>North _Region</c:v>
                </c:pt>
                <c:pt idx="2">
                  <c:v>South _Region</c:v>
                </c:pt>
                <c:pt idx="3">
                  <c:v>West _Region</c:v>
                </c:pt>
              </c:strCache>
            </c:strRef>
          </c:cat>
          <c:val>
            <c:numRef>
              <c:f>'Calculation Pivot Table'!$C$146:$F$146</c:f>
              <c:numCache>
                <c:formatCode>General</c:formatCode>
                <c:ptCount val="4"/>
                <c:pt idx="0">
                  <c:v>1</c:v>
                </c:pt>
                <c:pt idx="1">
                  <c:v>1</c:v>
                </c:pt>
                <c:pt idx="2">
                  <c:v>3</c:v>
                </c:pt>
                <c:pt idx="3">
                  <c:v>3</c:v>
                </c:pt>
              </c:numCache>
            </c:numRef>
          </c:val>
          <c:extLst>
            <c:ext xmlns:c16="http://schemas.microsoft.com/office/drawing/2014/chart" uri="{C3380CC4-5D6E-409C-BE32-E72D297353CC}">
              <c16:uniqueId val="{00000003-E924-48D7-A22C-7E64A4958993}"/>
            </c:ext>
          </c:extLst>
        </c:ser>
        <c:dLbls>
          <c:dLblPos val="ctr"/>
          <c:showLegendKey val="0"/>
          <c:showVal val="1"/>
          <c:showCatName val="0"/>
          <c:showSerName val="0"/>
          <c:showPercent val="0"/>
          <c:showBubbleSize val="0"/>
        </c:dLbls>
        <c:gapWidth val="150"/>
        <c:overlap val="100"/>
        <c:axId val="1195499952"/>
        <c:axId val="1195504112"/>
      </c:barChart>
      <c:catAx>
        <c:axId val="119549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504112"/>
        <c:crosses val="autoZero"/>
        <c:auto val="1"/>
        <c:lblAlgn val="ctr"/>
        <c:lblOffset val="100"/>
        <c:noMultiLvlLbl val="0"/>
      </c:catAx>
      <c:valAx>
        <c:axId val="119550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9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4</xdr:row>
      <xdr:rowOff>6351</xdr:rowOff>
    </xdr:from>
    <xdr:to>
      <xdr:col>2</xdr:col>
      <xdr:colOff>1155700</xdr:colOff>
      <xdr:row>11</xdr:row>
      <xdr:rowOff>171450</xdr:rowOff>
    </xdr:to>
    <mc:AlternateContent xmlns:mc="http://schemas.openxmlformats.org/markup-compatibility/2006" xmlns:a14="http://schemas.microsoft.com/office/drawing/2010/main">
      <mc:Choice Requires="a14">
        <xdr:graphicFrame macro="">
          <xdr:nvGraphicFramePr>
            <xdr:cNvPr id="4" name="Zone">
              <a:extLst>
                <a:ext uri="{FF2B5EF4-FFF2-40B4-BE49-F238E27FC236}">
                  <a16:creationId xmlns:a16="http://schemas.microsoft.com/office/drawing/2014/main" id="{59A215B8-0BF9-6A34-A1F8-552FF9D22355}"/>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590550" y="889001"/>
              <a:ext cx="203835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374650</xdr:colOff>
      <xdr:row>13</xdr:row>
      <xdr:rowOff>139700</xdr:rowOff>
    </xdr:from>
    <xdr:to>
      <xdr:col>5</xdr:col>
      <xdr:colOff>520700</xdr:colOff>
      <xdr:row>28</xdr:row>
      <xdr:rowOff>120650</xdr:rowOff>
    </xdr:to>
    <xdr:graphicFrame macro="">
      <xdr:nvGraphicFramePr>
        <xdr:cNvPr id="5" name="Chart 4">
          <a:extLst>
            <a:ext uri="{FF2B5EF4-FFF2-40B4-BE49-F238E27FC236}">
              <a16:creationId xmlns:a16="http://schemas.microsoft.com/office/drawing/2014/main" id="{56FD2E76-F596-147B-83D0-52E9EB5DE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31</xdr:row>
      <xdr:rowOff>12700</xdr:rowOff>
    </xdr:from>
    <xdr:to>
      <xdr:col>5</xdr:col>
      <xdr:colOff>571500</xdr:colOff>
      <xdr:row>43</xdr:row>
      <xdr:rowOff>146050</xdr:rowOff>
    </xdr:to>
    <xdr:graphicFrame macro="">
      <xdr:nvGraphicFramePr>
        <xdr:cNvPr id="6" name="Chart 5">
          <a:extLst>
            <a:ext uri="{FF2B5EF4-FFF2-40B4-BE49-F238E27FC236}">
              <a16:creationId xmlns:a16="http://schemas.microsoft.com/office/drawing/2014/main" id="{9F8D0779-9558-4C75-9271-C4EFA79C1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47</xdr:row>
      <xdr:rowOff>0</xdr:rowOff>
    </xdr:from>
    <xdr:to>
      <xdr:col>6</xdr:col>
      <xdr:colOff>146050</xdr:colOff>
      <xdr:row>61</xdr:row>
      <xdr:rowOff>165100</xdr:rowOff>
    </xdr:to>
    <xdr:graphicFrame macro="">
      <xdr:nvGraphicFramePr>
        <xdr:cNvPr id="8" name="Chart 7">
          <a:extLst>
            <a:ext uri="{FF2B5EF4-FFF2-40B4-BE49-F238E27FC236}">
              <a16:creationId xmlns:a16="http://schemas.microsoft.com/office/drawing/2014/main" id="{C047A149-01F8-4DCE-8C53-EA16D279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64</xdr:row>
      <xdr:rowOff>0</xdr:rowOff>
    </xdr:from>
    <xdr:to>
      <xdr:col>14</xdr:col>
      <xdr:colOff>241300</xdr:colOff>
      <xdr:row>85</xdr:row>
      <xdr:rowOff>6350</xdr:rowOff>
    </xdr:to>
    <xdr:graphicFrame macro="">
      <xdr:nvGraphicFramePr>
        <xdr:cNvPr id="9" name="Chart 8">
          <a:extLst>
            <a:ext uri="{FF2B5EF4-FFF2-40B4-BE49-F238E27FC236}">
              <a16:creationId xmlns:a16="http://schemas.microsoft.com/office/drawing/2014/main" id="{CE8F57E0-B0D4-41B1-8CB1-97F57B9E7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88</xdr:row>
      <xdr:rowOff>0</xdr:rowOff>
    </xdr:from>
    <xdr:to>
      <xdr:col>7</xdr:col>
      <xdr:colOff>104775</xdr:colOff>
      <xdr:row>104</xdr:row>
      <xdr:rowOff>127000</xdr:rowOff>
    </xdr:to>
    <xdr:graphicFrame macro="">
      <xdr:nvGraphicFramePr>
        <xdr:cNvPr id="10" name="Chart 9">
          <a:extLst>
            <a:ext uri="{FF2B5EF4-FFF2-40B4-BE49-F238E27FC236}">
              <a16:creationId xmlns:a16="http://schemas.microsoft.com/office/drawing/2014/main" id="{341FD3C0-30FD-44A4-A438-91B772ED4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66.893403935188" createdVersion="8" refreshedVersion="8" minRefreshableVersion="3" recordCount="61" xr:uid="{472B3875-B9D9-4091-A85C-988ADA3D4A23}">
  <cacheSource type="worksheet">
    <worksheetSource ref="A1:CD62" sheet="CX_Junior BI Analyst_Test"/>
  </cacheSource>
  <cacheFields count="82">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ount="58">
        <s v="Kamal"/>
        <s v="Sanket Patel"/>
        <s v="Mahesh"/>
        <s v="Sonali"/>
        <s v="Jateen"/>
        <s v="Rizwan"/>
        <s v="Mohsin"/>
        <s v="Keneth"/>
        <s v="Rakesh"/>
        <s v="Rashid"/>
        <s v="Gaurav"/>
        <s v="Kiran"/>
        <s v="Sanit Saji"/>
        <s v="Asif"/>
        <s v="Yasin Kaif"/>
        <s v="Bablu"/>
        <s v="Nagraj"/>
        <s v="Ashish"/>
        <s v="Sunil"/>
        <s v="Neeraj"/>
        <s v="Sanjeev"/>
        <s v="Ajeet"/>
        <s v="Deepak"/>
        <s v="Rajiv"/>
        <s v="Satyam"/>
        <s v="Hari"/>
        <s v="Probin"/>
        <s v="Raj Roushan"/>
        <s v="Lukman"/>
        <s v="Rohit"/>
        <s v="Santosh"/>
        <s v="Samir Pathan"/>
        <s v="Sagar Prathak"/>
        <s v="Santosh Jadhav"/>
        <s v="Suresh"/>
        <s v="The style advisor did not mention his name."/>
        <s v="Ali"/>
        <s v="Fariz"/>
        <s v="Abhay"/>
        <s v="Rafi"/>
        <s v="Sanjit"/>
        <s v="Suman"/>
        <s v="Yogesh"/>
        <s v="Muskan"/>
        <s v="Rahul"/>
        <s v="Nitesh"/>
        <s v="Gouse Bhasha"/>
        <s v="Suraj"/>
        <s v="Priyanka"/>
        <s v="Vijay K"/>
        <s v="Aneesh Jayanth"/>
        <s v="Varinder"/>
        <s v="Vasudev"/>
        <s v="Senthil Kumar"/>
        <s v="Anju Gurung"/>
        <s v="Mr. Girish"/>
        <s v="Yash"/>
        <s v="Arbaaz"/>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1.869710763887" createdVersion="8" refreshedVersion="8" minRefreshableVersion="3" recordCount="62" xr:uid="{6E0E4587-EF86-404D-AD81-0B9A0203094C}">
  <cacheSource type="worksheet">
    <worksheetSource ref="A1:CD1048576" sheet="CX_Junior BI Analyst_Test"/>
  </cacheSource>
  <cacheFields count="82">
    <cacheField name="Evaluation_ID" numFmtId="0">
      <sharedItems containsString="0" containsBlank="1" containsNumber="1" containsInteger="1" minValue="11078689" maxValue="11108850"/>
    </cacheField>
    <cacheField name="Evaluation_Date" numFmtId="0">
      <sharedItems containsBlank="1"/>
    </cacheField>
    <cacheField name="Evaluation_Score" numFmtId="0">
      <sharedItems containsString="0" containsBlank="1" containsNumber="1" containsInteger="1" minValue="33" maxValue="100"/>
    </cacheField>
    <cacheField name="STORE AMBIANCE" numFmtId="0">
      <sharedItems containsString="0" containsBlank="1" containsNumber="1" containsInteger="1" minValue="78" maxValue="100"/>
    </cacheField>
    <cacheField name="FIRST IMPRESSIONS" numFmtId="0">
      <sharedItems containsString="0" containsBlank="1" containsNumber="1" containsInteger="1" minValue="33" maxValue="100"/>
    </cacheField>
    <cacheField name="DISCOVERY" numFmtId="0">
      <sharedItems containsString="0" containsBlank="1" containsNumber="1" containsInteger="1" minValue="0" maxValue="100"/>
    </cacheField>
    <cacheField name="RECOMMENDATIONS" numFmtId="0">
      <sharedItems containsString="0" containsBlank="1" containsNumber="1" containsInteger="1" minValue="0" maxValue="100"/>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acheField>
    <cacheField name="CLOSURE &amp; CARE" numFmtId="0">
      <sharedItems containsString="0" containsBlank="1" containsNumber="1" containsInteger="1" minValue="0" maxValue="100"/>
    </cacheField>
    <cacheField name="OVERALL EXPERIENCE" numFmtId="0">
      <sharedItems containsString="0" containsBlank="1" containsNumber="1" containsInteger="1" minValue="0" maxValue="100"/>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ount="59">
        <s v="Kamal"/>
        <s v="Sanket Patel"/>
        <s v="Mahesh"/>
        <s v="Sonali"/>
        <s v="Jateen"/>
        <s v="Rizwan"/>
        <s v="Mohsin"/>
        <s v="Keneth"/>
        <s v="Rakesh"/>
        <s v="Rashid"/>
        <s v="Gaurav"/>
        <s v="Kiran"/>
        <s v="Sanit Saji"/>
        <s v="Asif"/>
        <s v="Yasin Kaif"/>
        <s v="Bablu"/>
        <s v="Nagraj"/>
        <s v="Ashish"/>
        <s v="Sunil"/>
        <s v="Neeraj"/>
        <s v="Sanjeev"/>
        <s v="Ajeet"/>
        <s v="Deepak"/>
        <s v="Rajiv"/>
        <s v="Satyam"/>
        <s v="Hari"/>
        <s v="Probin"/>
        <s v="Raj Roushan"/>
        <s v="Lukman"/>
        <s v="Rohit"/>
        <s v="Santosh"/>
        <s v="Samir Pathan"/>
        <s v="Sagar Prathak"/>
        <s v="Santosh Jadhav"/>
        <s v="Suresh"/>
        <s v="The style advisor did not mention his name."/>
        <s v="Ali"/>
        <s v="Fariz"/>
        <s v="Abhay"/>
        <s v="Rafi"/>
        <s v="Sanjit"/>
        <s v="Suman"/>
        <s v="Yogesh"/>
        <s v="Muskan"/>
        <s v="Rahul"/>
        <s v="Nitesh"/>
        <s v="Gouse Bhasha"/>
        <s v="Suraj"/>
        <s v="Priyanka"/>
        <s v="Vijay K"/>
        <s v="Aneesh Jayanth"/>
        <s v="Varinder"/>
        <s v="Vasudev"/>
        <s v="Senthil Kumar"/>
        <s v="Anju Gurung"/>
        <s v="Mr. Girish"/>
        <s v="Yash"/>
        <s v="Arbaaz"/>
        <m/>
      </sharedItems>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ount="2">
        <s v="Yes"/>
        <m/>
      </sharedItems>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1.854605439818" createdVersion="8" refreshedVersion="8" minRefreshableVersion="3" recordCount="62" xr:uid="{788B2EAC-769E-46EC-BEF0-4223D731AF65}">
  <cacheSource type="worksheet">
    <worksheetSource ref="A1:CD1048576" sheet="CX_Junior BI Analyst_Test"/>
  </cacheSource>
  <cacheFields count="82">
    <cacheField name="Evaluation_ID" numFmtId="0">
      <sharedItems containsString="0" containsBlank="1" containsNumber="1" containsInteger="1" minValue="11078689" maxValue="11108850"/>
    </cacheField>
    <cacheField name="Evaluation_Date" numFmtId="0">
      <sharedItems containsBlank="1"/>
    </cacheField>
    <cacheField name="Evaluation_Score" numFmtId="0">
      <sharedItems containsString="0" containsBlank="1" containsNumber="1" containsInteger="1" minValue="33" maxValue="100"/>
    </cacheField>
    <cacheField name="STORE AMBIANCE" numFmtId="0">
      <sharedItems containsString="0" containsBlank="1" containsNumber="1" containsInteger="1" minValue="78" maxValue="100"/>
    </cacheField>
    <cacheField name="FIRST IMPRESSIONS" numFmtId="0">
      <sharedItems containsString="0" containsBlank="1" containsNumber="1" containsInteger="1" minValue="33" maxValue="100"/>
    </cacheField>
    <cacheField name="DISCOVERY" numFmtId="0">
      <sharedItems containsString="0" containsBlank="1" containsNumber="1" containsInteger="1" minValue="0" maxValue="100"/>
    </cacheField>
    <cacheField name="RECOMMENDATIONS" numFmtId="0">
      <sharedItems containsString="0" containsBlank="1" containsNumber="1" containsInteger="1" minValue="0" maxValue="100"/>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acheField>
    <cacheField name="CLOSURE &amp; CARE" numFmtId="0">
      <sharedItems containsString="0" containsBlank="1" containsNumber="1" containsInteger="1" minValue="0" maxValue="100"/>
    </cacheField>
    <cacheField name="OVERALL EXPERIENCE" numFmtId="0">
      <sharedItems containsString="0" containsBlank="1" containsNumber="1" containsInteger="1" minValue="0" maxValue="100"/>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pivotCacheId="510679717"/>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n v="100"/>
    <n v="56"/>
    <n v="80"/>
    <n v="17"/>
    <n v="50"/>
    <n v="0"/>
    <n v="57"/>
    <n v="100"/>
    <s v="Delhi"/>
    <s v="Delhi (UT)"/>
    <x v="0"/>
    <s v="IN"/>
    <s v="12:25"/>
    <s v="12:42"/>
    <n v="1020"/>
    <n v="2"/>
    <n v="5"/>
    <n v="23"/>
    <s v="Male"/>
    <s v="I was wearing a formal shirt and trousers."/>
    <x v="0"/>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n v="86"/>
    <n v="100"/>
    <n v="100"/>
    <n v="100"/>
    <n v="67"/>
    <n v="75"/>
    <n v="100"/>
    <n v="63"/>
    <n v="100"/>
    <s v="Ahmedabad"/>
    <s v="Gujarat"/>
    <x v="1"/>
    <s v="IN"/>
    <s v="14:43"/>
    <s v="15:05"/>
    <n v="1320"/>
    <n v="2"/>
    <n v="3"/>
    <n v="35"/>
    <s v="Male"/>
    <s v="I was wearing a white shirt with blue strips along with blue jeans and casual shoes."/>
    <x v="1"/>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n v="72"/>
    <n v="100"/>
    <n v="100"/>
    <n v="80"/>
    <n v="17"/>
    <n v="75"/>
    <n v="100"/>
    <n v="25"/>
    <n v="100"/>
    <s v="Gurgoan"/>
    <s v="Haryana"/>
    <x v="0"/>
    <s v="IN"/>
    <s v="12:59"/>
    <s v="13:17"/>
    <n v="1080"/>
    <n v="3"/>
    <n v="4"/>
    <n v="34"/>
    <s v="Male"/>
    <s v="I was wearing a yellow t-shirt with jeans."/>
    <x v="2"/>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n v="84"/>
    <n v="89"/>
    <n v="80"/>
    <n v="80"/>
    <n v="100"/>
    <n v="63"/>
    <n v="100"/>
    <n v="88"/>
    <n v="100"/>
    <s v="Jaipur"/>
    <s v="Rajasthan"/>
    <x v="0"/>
    <s v="IN"/>
    <s v="15:35"/>
    <s v="16:06"/>
    <n v="1860"/>
    <n v="2"/>
    <n v="1"/>
    <n v="28"/>
    <s v="Male"/>
    <s v="I was wearing a black shirt with pants."/>
    <x v="3"/>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n v="84"/>
    <n v="89"/>
    <n v="80"/>
    <n v="80"/>
    <n v="100"/>
    <n v="63"/>
    <n v="100"/>
    <n v="88"/>
    <n v="100"/>
    <s v="Udaipur"/>
    <s v="Rajasthan"/>
    <x v="0"/>
    <s v="IN"/>
    <s v="13:55"/>
    <s v="14:30"/>
    <n v="2100"/>
    <n v="1"/>
    <n v="1"/>
    <n v="28"/>
    <s v="Male"/>
    <s v="I was wearing a grey formal shirt with pants."/>
    <x v="4"/>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n v="90"/>
    <n v="100"/>
    <n v="100"/>
    <n v="100"/>
    <n v="83"/>
    <n v="88"/>
    <n v="100"/>
    <n v="63"/>
    <n v="100"/>
    <s v="Chennai"/>
    <s v="Tamil Nadu"/>
    <x v="2"/>
    <s v="IN"/>
    <s v="12:17"/>
    <s v="12:33"/>
    <n v="960"/>
    <n v="1"/>
    <n v="1"/>
    <n v="60"/>
    <s v="Female"/>
    <s v="I was wearing dark blue jeans with a long maroon-colored top."/>
    <x v="5"/>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n v="36"/>
    <n v="78"/>
    <n v="90"/>
    <n v="0"/>
    <n v="0"/>
    <n v="0"/>
    <n v="0"/>
    <n v="25"/>
    <n v="0"/>
    <s v="Mumbai"/>
    <s v="Maharashtra"/>
    <x v="1"/>
    <s v="IN"/>
    <s v="17:45"/>
    <s v="18:00"/>
    <n v="900"/>
    <n v="1"/>
    <n v="1"/>
    <n v="32"/>
    <s v="Male"/>
    <s v="I was wearing formals during my visit."/>
    <x v="6"/>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n v="34"/>
    <n v="78"/>
    <n v="60"/>
    <n v="40"/>
    <n v="0"/>
    <n v="0"/>
    <n v="33"/>
    <n v="13"/>
    <n v="0"/>
    <s v="Mumbai"/>
    <s v="Maharashtra"/>
    <x v="1"/>
    <s v="IN"/>
    <s v="12:00"/>
    <s v="12:15"/>
    <n v="900"/>
    <n v="2"/>
    <n v="1"/>
    <n v="32"/>
    <s v="Male"/>
    <s v="I was wearing a black t-shirt with blue colored denim."/>
    <x v="7"/>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n v="74"/>
    <n v="78"/>
    <n v="90"/>
    <n v="40"/>
    <n v="50"/>
    <n v="100"/>
    <n v="100"/>
    <n v="50"/>
    <n v="100"/>
    <s v="Mumbai"/>
    <s v="Maharashtra"/>
    <x v="1"/>
    <s v="IN"/>
    <s v="12:00"/>
    <s v="12:15"/>
    <n v="900"/>
    <n v="1"/>
    <n v="1"/>
    <n v="32"/>
    <s v="Male"/>
    <s v="I was wearing a t-shirt with jeans."/>
    <x v="8"/>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n v="74"/>
    <n v="78"/>
    <n v="90"/>
    <n v="60"/>
    <n v="17"/>
    <n v="100"/>
    <n v="100"/>
    <n v="63"/>
    <n v="100"/>
    <s v="Mumbai"/>
    <s v="Maharashtra"/>
    <x v="1"/>
    <s v="IN"/>
    <s v="17:30"/>
    <s v="17:45"/>
    <n v="900"/>
    <n v="3"/>
    <n v="0"/>
    <n v="32"/>
    <s v="Male"/>
    <s v="T-shirt and jeans"/>
    <x v="9"/>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n v="86"/>
    <n v="78"/>
    <n v="80"/>
    <n v="100"/>
    <n v="100"/>
    <n v="100"/>
    <n v="100"/>
    <n v="63"/>
    <n v="100"/>
    <s v="Mumbai"/>
    <s v="Maharashtra"/>
    <x v="1"/>
    <s v="IN"/>
    <s v="13:34"/>
    <s v="14:00"/>
    <n v="1560"/>
    <n v="2"/>
    <n v="1"/>
    <n v="32"/>
    <s v="Male"/>
    <s v="I was wearing a t-shirt with denims."/>
    <x v="10"/>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n v="70"/>
    <n v="78"/>
    <n v="60"/>
    <n v="100"/>
    <n v="50"/>
    <n v="88"/>
    <n v="100"/>
    <n v="38"/>
    <n v="100"/>
    <s v="Mumbai"/>
    <s v="Maharashtra"/>
    <x v="1"/>
    <s v="IN"/>
    <s v="14:25"/>
    <s v="14:40"/>
    <n v="900"/>
    <n v="2"/>
    <n v="1"/>
    <n v="32"/>
    <s v="Male"/>
    <s v="I was wearing a t-shirt with denims."/>
    <x v="11"/>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n v="84"/>
    <n v="89"/>
    <n v="89"/>
    <n v="80"/>
    <n v="83"/>
    <n v="100"/>
    <n v="100"/>
    <n v="50"/>
    <n v="100"/>
    <s v="Bangalore"/>
    <s v="Karnataka"/>
    <x v="2"/>
    <s v="IN"/>
    <s v="16:39"/>
    <s v="17:04"/>
    <n v="1500"/>
    <n v="2"/>
    <n v="3"/>
    <n v="40"/>
    <s v="Male"/>
    <s v="I was wearing a black jeans with red and blue shorts."/>
    <x v="12"/>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n v="78"/>
    <n v="78"/>
    <n v="100"/>
    <n v="80"/>
    <n v="83"/>
    <n v="50"/>
    <n v="100"/>
    <n v="63"/>
    <n v="100"/>
    <s v="Hyderabad"/>
    <s v="Telangana"/>
    <x v="2"/>
    <s v="IN"/>
    <s v="17:41"/>
    <s v="18:15"/>
    <n v="2040"/>
    <n v="2"/>
    <n v="1"/>
    <n v="28"/>
    <s v="Male"/>
    <s v="I was wearing a t-shirt with jeans."/>
    <x v="13"/>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n v="61"/>
    <n v="78"/>
    <n v="67"/>
    <n v="60"/>
    <n v="83"/>
    <n v="38"/>
    <n v="67"/>
    <n v="38"/>
    <n v="100"/>
    <s v="Pune"/>
    <s v="Maharashtra"/>
    <x v="1"/>
    <s v="IN"/>
    <s v="14:23"/>
    <s v="14:51"/>
    <n v="1680"/>
    <n v="3"/>
    <n v="1"/>
    <n v="31"/>
    <s v="Male"/>
    <s v="I was wearing a black t-shirt with blue jeans."/>
    <x v="14"/>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n v="78"/>
    <n v="89"/>
    <n v="100"/>
    <n v="80"/>
    <n v="50"/>
    <n v="88"/>
    <n v="67"/>
    <n v="50"/>
    <n v="100"/>
    <s v="Mumbai"/>
    <s v="Maharashtra"/>
    <x v="1"/>
    <s v="IN"/>
    <s v="16:52"/>
    <s v="17:30"/>
    <n v="2280"/>
    <s v="02"/>
    <n v="1"/>
    <n v="57"/>
    <s v="Male"/>
    <s v="I was wearing a red and black check shirt, pants, shoes, and spectacles."/>
    <x v="15"/>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n v="89"/>
    <n v="89"/>
    <n v="100"/>
    <n v="80"/>
    <n v="83"/>
    <n v="88"/>
    <n v="67"/>
    <n v="100"/>
    <n v="100"/>
    <s v="Mumbai"/>
    <s v="Maharashtra"/>
    <x v="1"/>
    <s v="IN"/>
    <s v="17:24"/>
    <s v="18:04"/>
    <n v="2400"/>
    <n v="2"/>
    <n v="1"/>
    <n v="57"/>
    <s v="Male"/>
    <s v="I was wearing a colorful shirt with pants and shoes."/>
    <x v="16"/>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n v="65"/>
    <n v="89"/>
    <n v="89"/>
    <n v="80"/>
    <n v="50"/>
    <n v="25"/>
    <n v="33"/>
    <n v="63"/>
    <n v="100"/>
    <s v="Cochin"/>
    <s v="Kerala"/>
    <x v="2"/>
    <s v="IN"/>
    <s v="15:05"/>
    <s v="15:30"/>
    <n v="1500"/>
    <n v="2"/>
    <n v="1"/>
    <n v="42"/>
    <s v="Male"/>
    <s v="I was wearing a formal shirt and trousers."/>
    <x v="17"/>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n v="76"/>
    <n v="89"/>
    <n v="89"/>
    <n v="80"/>
    <n v="50"/>
    <n v="75"/>
    <n v="100"/>
    <n v="63"/>
    <n v="0"/>
    <s v="Ludhiana"/>
    <s v="Punjab"/>
    <x v="0"/>
    <s v="IN"/>
    <s v="12:45"/>
    <s v="13:10"/>
    <n v="1500"/>
    <n v="1"/>
    <n v="1"/>
    <n v="43"/>
    <s v="Male"/>
    <s v="I was wearing a off white shirt with brown trousers."/>
    <x v="18"/>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n v="82"/>
    <n v="89"/>
    <n v="90"/>
    <n v="80"/>
    <n v="50"/>
    <n v="88"/>
    <n v="100"/>
    <n v="75"/>
    <n v="100"/>
    <s v="Amritsar"/>
    <s v="Punjab"/>
    <x v="0"/>
    <s v="IN"/>
    <s v="12:55"/>
    <s v="13:16"/>
    <n v="1260"/>
    <n v="3"/>
    <n v="1"/>
    <n v="43"/>
    <s v="Male"/>
    <s v="I was wearing a navy pant and shirt."/>
    <x v="0"/>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n v="89"/>
    <n v="100"/>
    <n v="100"/>
    <n v="83"/>
    <n v="88"/>
    <n v="100"/>
    <n v="63"/>
    <n v="100"/>
    <s v="Amritsar"/>
    <s v="Punjab"/>
    <x v="0"/>
    <s v="IN"/>
    <s v="14:10"/>
    <s v="14:35"/>
    <n v="1500"/>
    <n v="3"/>
    <n v="1"/>
    <n v="40"/>
    <s v="Male"/>
    <s v="I was wearing a blue trouser and shirt."/>
    <x v="19"/>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n v="71"/>
    <n v="100"/>
    <n v="67"/>
    <n v="80"/>
    <n v="50"/>
    <n v="88"/>
    <n v="0"/>
    <n v="57"/>
    <n v="100"/>
    <s v="Delhi"/>
    <s v="Delhi (UT)"/>
    <x v="0"/>
    <s v="IN"/>
    <s v="17:15"/>
    <s v="17:43"/>
    <n v="1680"/>
    <n v="4"/>
    <n v="2"/>
    <n v="52"/>
    <s v="Male"/>
    <s v="I wore a polo t-shirt along with jeans and sneakers."/>
    <x v="20"/>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n v="89"/>
    <n v="78"/>
    <n v="80"/>
    <n v="50"/>
    <n v="75"/>
    <n v="0"/>
    <n v="43"/>
    <n v="100"/>
    <s v="Delhi"/>
    <s v="Delhi (UT)"/>
    <x v="0"/>
    <s v="IN"/>
    <s v="16:35"/>
    <s v="16:52"/>
    <n v="1020"/>
    <n v="4"/>
    <n v="2"/>
    <n v="52"/>
    <s v="Male"/>
    <s v="I wore a polo t-shirt along with jeans and sneakers."/>
    <x v="19"/>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n v="78"/>
    <n v="78"/>
    <n v="60"/>
    <n v="50"/>
    <n v="38"/>
    <n v="67"/>
    <n v="43"/>
    <n v="100"/>
    <s v="Delhi"/>
    <s v="Delhi (UT)"/>
    <x v="0"/>
    <s v="IN"/>
    <s v="13:30"/>
    <s v="13:46"/>
    <n v="960"/>
    <n v="2"/>
    <n v="1"/>
    <n v="52"/>
    <s v="Male"/>
    <s v="Wore a polo t-shirt along with jeans &amp; sneakers"/>
    <x v="21"/>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n v="89"/>
    <n v="89"/>
    <n v="80"/>
    <n v="83"/>
    <n v="75"/>
    <n v="67"/>
    <n v="71"/>
    <n v="100"/>
    <s v="Delhi"/>
    <s v="Delhi (UT)"/>
    <x v="0"/>
    <s v="IN"/>
    <s v="15:18"/>
    <s v="15:38"/>
    <n v="1200"/>
    <n v="3"/>
    <n v="1"/>
    <n v="52"/>
    <s v="Male"/>
    <s v="I wore a polo t-shirt along with jeans and sneakers."/>
    <x v="22"/>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n v="78"/>
    <n v="89"/>
    <n v="89"/>
    <n v="80"/>
    <n v="83"/>
    <n v="63"/>
    <n v="100"/>
    <n v="50"/>
    <n v="100"/>
    <s v="Bangalore"/>
    <s v="Karnataka"/>
    <x v="2"/>
    <s v="IN"/>
    <s v="13:23"/>
    <s v="13:55"/>
    <n v="1920"/>
    <n v="1"/>
    <n v="1"/>
    <n v="39"/>
    <s v="Male"/>
    <s v="I was wearing a lavender shirt with blue jeans."/>
    <x v="23"/>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n v="92"/>
    <n v="78"/>
    <n v="100"/>
    <n v="100"/>
    <n v="100"/>
    <n v="100"/>
    <n v="100"/>
    <n v="75"/>
    <n v="100"/>
    <s v="Pune"/>
    <s v="Maharashtra"/>
    <x v="1"/>
    <s v="IN"/>
    <s v="15:05"/>
    <s v="15:30"/>
    <n v="1500"/>
    <n v="3"/>
    <n v="3"/>
    <n v="35"/>
    <s v="Male"/>
    <s v="I was wearing a t-shirt and jeans."/>
    <x v="24"/>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n v="89"/>
    <n v="78"/>
    <n v="80"/>
    <n v="17"/>
    <n v="38"/>
    <n v="100"/>
    <n v="25"/>
    <n v="100"/>
    <s v="Coimatore"/>
    <s v="Tamil Nadu"/>
    <x v="2"/>
    <s v="IN"/>
    <s v="12:45"/>
    <s v="12:55"/>
    <n v="600"/>
    <n v="2"/>
    <n v="1"/>
    <n v="37"/>
    <s v="Male"/>
    <s v="I was wearing a casual dress."/>
    <x v="25"/>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n v="100"/>
    <n v="33"/>
    <n v="20"/>
    <n v="0"/>
    <n v="0"/>
    <n v="33"/>
    <n v="25"/>
    <n v="0"/>
    <s v="Guwahati"/>
    <s v="Assam"/>
    <x v="0"/>
    <s v="IN"/>
    <s v="12:17"/>
    <s v="12:27"/>
    <n v="600"/>
    <n v="1"/>
    <n v="0"/>
    <n v="43"/>
    <s v="Male"/>
    <s v="I was wearing casual jeans with a shirt and Adidas shoes."/>
    <x v="26"/>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n v="64"/>
    <n v="89"/>
    <n v="80"/>
    <n v="0"/>
    <n v="83"/>
    <n v="38"/>
    <n v="100"/>
    <n v="63"/>
    <n v="0"/>
    <s v="Kolkatta"/>
    <s v="West Bengal"/>
    <x v="3"/>
    <s v="IN"/>
    <s v="16:28"/>
    <s v="16:52"/>
    <n v="1440"/>
    <n v="2"/>
    <n v="1"/>
    <n v="27"/>
    <s v="Female"/>
    <s v="I was wearing a grey kurti with the white palazzo and black flat shoes and had a side bag."/>
    <x v="27"/>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n v="69"/>
    <n v="89"/>
    <n v="78"/>
    <n v="100"/>
    <n v="50"/>
    <n v="38"/>
    <n v="100"/>
    <n v="50"/>
    <n v="100"/>
    <s v="Bangalore"/>
    <s v="Karnataka"/>
    <x v="2"/>
    <s v="IN"/>
    <s v="13:50"/>
    <s v="14:25"/>
    <n v="2100"/>
    <n v="1"/>
    <n v="1"/>
    <n v="42"/>
    <s v="Male"/>
    <s v="I was wearing a formal shirt and trousers."/>
    <x v="28"/>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n v="83"/>
    <n v="89"/>
    <n v="67"/>
    <n v="100"/>
    <n v="100"/>
    <n v="75"/>
    <n v="100"/>
    <n v="71"/>
    <n v="100"/>
    <s v="Kolkatta"/>
    <s v="West Bengal"/>
    <x v="3"/>
    <s v="IN"/>
    <s v="17:45"/>
    <s v="18:10"/>
    <n v="1500"/>
    <n v="2"/>
    <n v="1"/>
    <n v="40"/>
    <s v="Female"/>
    <s v="I was wearing a yellow printed kurta with a beige coloured dupatta."/>
    <x v="29"/>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n v="100"/>
    <n v="89"/>
    <n v="100"/>
    <n v="100"/>
    <n v="100"/>
    <n v="100"/>
    <n v="75"/>
    <n v="100"/>
    <s v="Chennai"/>
    <s v="Tamil Nadu"/>
    <x v="2"/>
    <s v="IN"/>
    <s v="20:31"/>
    <s v="20:52"/>
    <n v="1260"/>
    <n v="1"/>
    <n v="2"/>
    <n v="60"/>
    <s v="Female"/>
    <s v="I was wearing a pale blue jeans top and dark blue jeggings."/>
    <x v="30"/>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n v="100"/>
    <n v="70"/>
    <n v="80"/>
    <n v="83"/>
    <n v="100"/>
    <n v="100"/>
    <n v="38"/>
    <n v="100"/>
    <s v="Pune"/>
    <s v="Maharashtra"/>
    <x v="1"/>
    <s v="IN"/>
    <s v="14:58"/>
    <s v="15:32"/>
    <n v="2040"/>
    <n v="3"/>
    <n v="7"/>
    <n v="40"/>
    <s v="Female"/>
    <s v="I was wearing a t-shirt with pants."/>
    <x v="31"/>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n v="82"/>
    <n v="78"/>
    <n v="89"/>
    <n v="60"/>
    <n v="100"/>
    <n v="88"/>
    <n v="100"/>
    <n v="63"/>
    <n v="100"/>
    <s v="Kanpur"/>
    <s v="Uttar Pradesh"/>
    <x v="0"/>
    <s v="IN"/>
    <s v="16:05"/>
    <s v="16:36"/>
    <n v="1860"/>
    <n v="3"/>
    <n v="3"/>
    <n v="33"/>
    <s v="Female"/>
    <s v="I was wearing a palazzo and Kurti."/>
    <x v="32"/>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n v="84"/>
    <n v="78"/>
    <n v="89"/>
    <n v="80"/>
    <n v="100"/>
    <n v="75"/>
    <n v="100"/>
    <n v="75"/>
    <n v="100"/>
    <s v="Surat"/>
    <s v="Gujarat"/>
    <x v="1"/>
    <s v="IN"/>
    <s v="17:48"/>
    <s v="18:20"/>
    <n v="1920"/>
    <n v="3"/>
    <n v="1"/>
    <n v="35"/>
    <s v="Female"/>
    <s v="I was wearing a kurti with leggings."/>
    <x v="33"/>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n v="73"/>
    <n v="89"/>
    <n v="89"/>
    <n v="80"/>
    <n v="50"/>
    <n v="63"/>
    <n v="100"/>
    <n v="50"/>
    <n v="100"/>
    <s v="Hyderabad"/>
    <s v="Telangana"/>
    <x v="2"/>
    <s v="IN"/>
    <s v="16:00"/>
    <s v="16:29"/>
    <n v="1740"/>
    <n v="2"/>
    <n v="2"/>
    <n v="45"/>
    <s v="Female"/>
    <s v="I was wearing a saree."/>
    <x v="34"/>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n v="78"/>
    <n v="67"/>
    <n v="0"/>
    <n v="17"/>
    <n v="13"/>
    <n v="67"/>
    <n v="25"/>
    <n v="0"/>
    <s v="Hyderabad"/>
    <s v="Telangana"/>
    <x v="2"/>
    <s v="IN"/>
    <s v="15:30"/>
    <s v="15:55"/>
    <n v="1500"/>
    <n v="1"/>
    <n v="1"/>
    <n v="55"/>
    <s v="Male"/>
    <s v="I was wearing a trouser and sweatshirt."/>
    <x v="35"/>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n v="71"/>
    <n v="89"/>
    <n v="78"/>
    <n v="60"/>
    <n v="50"/>
    <n v="75"/>
    <n v="67"/>
    <n v="63"/>
    <n v="100"/>
    <s v="Hyderabad"/>
    <s v="Telangana"/>
    <x v="2"/>
    <s v="IN"/>
    <s v="13:08"/>
    <s v="13:36"/>
    <n v="1680"/>
    <n v="2"/>
    <n v="1"/>
    <n v="56"/>
    <s v="Male"/>
    <s v="I was wearing chinos with sweatshirt."/>
    <x v="36"/>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n v="100"/>
    <n v="100"/>
    <n v="100"/>
    <n v="100"/>
    <n v="100"/>
    <n v="100"/>
    <n v="100"/>
    <n v="100"/>
    <n v="100"/>
    <s v="Lucknow"/>
    <s v="Uttar Pradesh"/>
    <x v="0"/>
    <s v="IN"/>
    <s v="15:45"/>
    <s v="16:07"/>
    <n v="1320"/>
    <n v="1"/>
    <n v="1"/>
    <n v="39"/>
    <s v="Female"/>
    <s v="I was wearing green color jeggings with a black polka dot top."/>
    <x v="37"/>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n v="94"/>
    <n v="89"/>
    <n v="90"/>
    <n v="100"/>
    <n v="100"/>
    <n v="100"/>
    <n v="100"/>
    <n v="88"/>
    <n v="100"/>
    <s v="Lucknow"/>
    <s v="Uttar Pradesh"/>
    <x v="0"/>
    <s v="IN"/>
    <s v="14:00"/>
    <s v="14:24"/>
    <n v="1440"/>
    <n v="2"/>
    <n v="1"/>
    <n v="39"/>
    <s v="Female"/>
    <s v="I was wearing green-shaded jeggings and a black polka-dot top."/>
    <x v="38"/>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n v="52"/>
    <n v="78"/>
    <n v="33"/>
    <n v="40"/>
    <n v="50"/>
    <n v="25"/>
    <n v="100"/>
    <n v="57"/>
    <n v="100"/>
    <s v="Chennai"/>
    <s v="Tamil Nadu"/>
    <x v="2"/>
    <s v="IN"/>
    <s v="17:10"/>
    <s v="17:35"/>
    <n v="1500"/>
    <n v="1"/>
    <n v="1"/>
    <n v="27"/>
    <s v="Male"/>
    <s v="I was wearing a blue t-shirt with black jeans."/>
    <x v="39"/>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n v="62"/>
    <n v="100"/>
    <n v="80"/>
    <n v="0"/>
    <n v="50"/>
    <n v="50"/>
    <n v="100"/>
    <n v="50"/>
    <n v="0"/>
    <s v="Kolkatta"/>
    <s v="West Bengal"/>
    <x v="3"/>
    <s v="IN"/>
    <s v="16:09"/>
    <s v="16:32"/>
    <n v="1380"/>
    <n v="2"/>
    <n v="1"/>
    <n v="27"/>
    <s v="Female"/>
    <s v="I had my hair up in a ponytail and was wearing a reddish-brown Kurti with white palazzo, and black flat shoes, and carried a brown bag."/>
    <x v="40"/>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n v="94"/>
    <n v="100"/>
    <n v="100"/>
    <n v="100"/>
    <n v="100"/>
    <n v="100"/>
    <n v="100"/>
    <n v="63"/>
    <n v="100"/>
    <s v="Bhubaneshwar"/>
    <s v="Orissa"/>
    <x v="3"/>
    <s v="IN"/>
    <s v="17:01"/>
    <s v="17:52"/>
    <n v="3060"/>
    <n v="2"/>
    <n v="2"/>
    <n v="37"/>
    <s v="Male"/>
    <s v="I was wearing denim jeans and a round neck t-shirt."/>
    <x v="41"/>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n v="86"/>
    <n v="100"/>
    <n v="100"/>
    <n v="100"/>
    <n v="67"/>
    <n v="63"/>
    <n v="100"/>
    <n v="75"/>
    <n v="100"/>
    <s v="Vadodara"/>
    <s v="Gujarat"/>
    <x v="1"/>
    <s v="IN"/>
    <s v="14:29"/>
    <s v="14:53"/>
    <n v="1440"/>
    <n v="2"/>
    <n v="1"/>
    <n v="35"/>
    <s v="Male"/>
    <s v="I was wearing a white shirt that had blue strips with blue jeans and casual shoes."/>
    <x v="42"/>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n v="94"/>
    <n v="100"/>
    <n v="100"/>
    <n v="100"/>
    <n v="67"/>
    <n v="100"/>
    <n v="100"/>
    <n v="88"/>
    <n v="100"/>
    <s v="Delhi"/>
    <s v="Delhi (UT)"/>
    <x v="0"/>
    <s v="IN"/>
    <s v="15:15"/>
    <s v="15:40"/>
    <n v="1500"/>
    <n v="2"/>
    <n v="1"/>
    <n v="28"/>
    <s v="Male"/>
    <s v="I was wearing jeans and shirt."/>
    <x v="29"/>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x v="43"/>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n v="69"/>
    <n v="100"/>
    <n v="67"/>
    <n v="80"/>
    <n v="50"/>
    <n v="88"/>
    <n v="0"/>
    <n v="50"/>
    <n v="100"/>
    <s v="Delhi"/>
    <s v="Delhi (UT)"/>
    <x v="0"/>
    <s v="IN"/>
    <s v="12:55"/>
    <s v="13:14"/>
    <n v="1140"/>
    <n v="2"/>
    <n v="1"/>
    <n v="52"/>
    <s v="Male"/>
    <s v="I was wearing a formal shirt with trousers."/>
    <x v="44"/>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n v="100"/>
    <n v="78"/>
    <n v="80"/>
    <n v="50"/>
    <n v="75"/>
    <n v="0"/>
    <n v="50"/>
    <n v="100"/>
    <s v="Noida"/>
    <s v="Uttar Pradesh"/>
    <x v="0"/>
    <s v="IN"/>
    <s v="13:35"/>
    <s v="13:55"/>
    <n v="1200"/>
    <n v="3"/>
    <n v="2"/>
    <n v="52"/>
    <s v="Male"/>
    <s v="I was wearing a formal shirt and trouser."/>
    <x v="45"/>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n v="61"/>
    <n v="78"/>
    <n v="89"/>
    <n v="0"/>
    <n v="83"/>
    <n v="38"/>
    <n v="100"/>
    <n v="38"/>
    <n v="100"/>
    <s v="Hyderabad"/>
    <s v="Telangana"/>
    <x v="2"/>
    <s v="IN"/>
    <s v="16:50"/>
    <s v="17:18"/>
    <n v="1680"/>
    <n v="2"/>
    <n v="2"/>
    <n v="45"/>
    <s v="Female"/>
    <s v="I was wearing jeans and a top."/>
    <x v="46"/>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n v="92"/>
    <n v="100"/>
    <n v="100"/>
    <n v="100"/>
    <n v="100"/>
    <n v="75"/>
    <n v="100"/>
    <n v="75"/>
    <n v="100"/>
    <s v="Mumbai"/>
    <s v="Maharashtra"/>
    <x v="1"/>
    <s v="IN"/>
    <s v="16:15"/>
    <s v="17:00"/>
    <n v="2700"/>
    <n v="3"/>
    <n v="4"/>
    <n v="32"/>
    <s v="Male"/>
    <s v="I was wearing jeans and t-shirt."/>
    <x v="47"/>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n v="96"/>
    <n v="100"/>
    <n v="100"/>
    <n v="80"/>
    <n v="83"/>
    <n v="100"/>
    <n v="100"/>
    <n v="100"/>
    <n v="100"/>
    <s v="Kolkatta"/>
    <s v="West Bengal"/>
    <x v="3"/>
    <s v="IN"/>
    <s v="15:00"/>
    <s v="16:16"/>
    <n v="4560"/>
    <n v="4"/>
    <n v="1"/>
    <n v="51"/>
    <s v="Female"/>
    <s v="I was wearing a white printed kurti and jeans."/>
    <x v="48"/>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n v="34"/>
    <n v="89"/>
    <n v="70"/>
    <n v="0"/>
    <n v="0"/>
    <n v="0"/>
    <n v="67"/>
    <n v="0"/>
    <n v="0"/>
    <s v="Mumbai"/>
    <s v="Maharashtra"/>
    <x v="1"/>
    <s v="IN"/>
    <s v="14:00"/>
    <s v="14:22"/>
    <n v="1320"/>
    <n v="1"/>
    <n v="1"/>
    <n v="32"/>
    <s v="Male"/>
    <s v="I was wearing a t-shirt with denims."/>
    <x v="49"/>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n v="53"/>
    <n v="89"/>
    <n v="78"/>
    <n v="20"/>
    <n v="50"/>
    <n v="13"/>
    <n v="67"/>
    <n v="38"/>
    <n v="100"/>
    <s v="Bangalore"/>
    <s v="Karnataka"/>
    <x v="2"/>
    <s v="IN"/>
    <s v="17:30"/>
    <s v="18:00"/>
    <n v="1800"/>
    <n v="2"/>
    <n v="3"/>
    <n v="41"/>
    <s v="Male"/>
    <s v="I was wearing jeans and a t-shirt."/>
    <x v="50"/>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n v="100"/>
    <n v="100"/>
    <n v="100"/>
    <n v="83"/>
    <n v="100"/>
    <n v="100"/>
    <n v="75"/>
    <n v="100"/>
    <s v="Chandigarth"/>
    <s v="Punjab"/>
    <x v="0"/>
    <s v="IN"/>
    <s v="12:46"/>
    <s v="13:09"/>
    <n v="1380"/>
    <n v="3"/>
    <n v="3"/>
    <n v="33"/>
    <s v="Male"/>
    <s v="I was wearing shirt with dark blue denims and white champions shoes."/>
    <x v="51"/>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n v="78"/>
    <n v="67"/>
    <n v="40"/>
    <n v="50"/>
    <n v="88"/>
    <n v="33"/>
    <n v="38"/>
    <n v="100"/>
    <s v="Bhopal"/>
    <s v="Madhya Pradesh"/>
    <x v="3"/>
    <s v="IN"/>
    <s v="16:51"/>
    <s v="17:20"/>
    <n v="1740"/>
    <n v="1"/>
    <n v="2"/>
    <n v="29"/>
    <s v="Male"/>
    <s v="I was wearing formal shirt with trousers."/>
    <x v="52"/>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n v="78"/>
    <n v="100"/>
    <n v="80"/>
    <n v="100"/>
    <n v="100"/>
    <n v="100"/>
    <n v="63"/>
    <n v="100"/>
    <s v="Chennai"/>
    <s v="Tamil Nadu"/>
    <x v="2"/>
    <s v="IN"/>
    <s v="16:11"/>
    <s v="16:32"/>
    <n v="1260"/>
    <n v="1"/>
    <n v="1"/>
    <n v="32"/>
    <s v="Male"/>
    <s v="I was wearing casual shirt, jeans with causal shoes."/>
    <x v="53"/>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n v="77"/>
    <n v="100"/>
    <n v="89"/>
    <n v="80"/>
    <n v="17"/>
    <n v="100"/>
    <n v="100"/>
    <n v="57"/>
    <n v="0"/>
    <s v="Bangalore"/>
    <s v="Karnataka"/>
    <x v="2"/>
    <s v="IN"/>
    <s v="15:56"/>
    <s v="16:50"/>
    <n v="3240"/>
    <n v="1"/>
    <n v="2"/>
    <n v="23"/>
    <s v="Male"/>
    <s v="I was wearing blue jean and yellow hoodie."/>
    <x v="54"/>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n v="78"/>
    <n v="56"/>
    <n v="20"/>
    <n v="0"/>
    <n v="0"/>
    <n v="33"/>
    <n v="29"/>
    <n v="0"/>
    <s v="Bangalore"/>
    <s v="Karnataka"/>
    <x v="2"/>
    <s v="IN"/>
    <s v="16:55"/>
    <s v="17:25"/>
    <n v="1800"/>
    <n v="4"/>
    <n v="5"/>
    <n v="41"/>
    <s v="Male"/>
    <s v="I was wearing jeans &amp; t-shirt."/>
    <x v="55"/>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n v="78"/>
    <n v="67"/>
    <n v="40"/>
    <n v="0"/>
    <n v="0"/>
    <n v="0"/>
    <n v="25"/>
    <n v="0"/>
    <s v="Bangalore"/>
    <s v="Karnataka"/>
    <x v="2"/>
    <s v="IN"/>
    <s v="17:28"/>
    <s v="17:58"/>
    <n v="1800"/>
    <n v="2"/>
    <n v="2"/>
    <n v="41"/>
    <s v="Male"/>
    <s v="I was wearing jeans &amp; t-shirt."/>
    <x v="56"/>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n v="65"/>
    <n v="89"/>
    <n v="78"/>
    <n v="40"/>
    <n v="50"/>
    <n v="63"/>
    <n v="67"/>
    <n v="43"/>
    <n v="100"/>
    <s v="Mumbai"/>
    <s v="Maharashtra"/>
    <x v="1"/>
    <s v="IN"/>
    <s v="16:53"/>
    <s v="17:05"/>
    <n v="720"/>
    <n v="3"/>
    <n v="1"/>
    <n v="25"/>
    <s v="Female"/>
    <s v="I was wearing a black and grey checked shirt with blue jeans, spectacles and short hair."/>
    <x v="57"/>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s v="2022-10-01"/>
    <n v="58"/>
    <n v="100"/>
    <n v="56"/>
    <n v="80"/>
    <n v="17"/>
    <n v="50"/>
    <n v="0"/>
    <n v="57"/>
    <n v="100"/>
    <s v="Delhi"/>
    <s v="Delhi (UT)"/>
    <x v="0"/>
    <s v="IN"/>
    <s v="12:25"/>
    <s v="12:42"/>
    <n v="1020"/>
    <n v="2"/>
    <n v="5"/>
    <n v="23"/>
    <s v="Male"/>
    <s v="I was wearing a formal shirt and trousers."/>
    <x v="0"/>
    <s v="Male, approximately 5'10' in height, black hair, wore no spectacles and was wearing an orange coloured branded t-shirt, blue jeansY2:Y61 with casual shoes, clean-shaven and was wearing a mask."/>
    <s v="Yes"/>
    <s v="Yes"/>
    <s v="Yes"/>
    <s v="Yes"/>
    <s v="Yes"/>
    <s v="No"/>
    <x v="0"/>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n v="86"/>
    <n v="100"/>
    <n v="100"/>
    <n v="100"/>
    <n v="67"/>
    <n v="75"/>
    <n v="100"/>
    <n v="63"/>
    <n v="100"/>
    <s v="Ahmedabad"/>
    <s v="Gujarat"/>
    <x v="1"/>
    <s v="IN"/>
    <s v="14:43"/>
    <s v="15:05"/>
    <n v="1320"/>
    <n v="2"/>
    <n v="3"/>
    <n v="35"/>
    <s v="Male"/>
    <s v="I was wearing a white shirt with blue strips along with blue jeans and casual shoes."/>
    <x v="1"/>
    <s v="Male, approximately 5'8'' in height, wheatish complexion, black hair, was wearing spectacles, wore the Company branded t-shirt, plain light blue jeans, closed shoes, properly shaved and hairstyle was done in a proper manner."/>
    <s v="Yes"/>
    <s v="Yes"/>
    <s v="Yes"/>
    <s v="Yes"/>
    <s v="Yes"/>
    <s v="No"/>
    <x v="0"/>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n v="72"/>
    <n v="100"/>
    <n v="100"/>
    <n v="80"/>
    <n v="17"/>
    <n v="75"/>
    <n v="100"/>
    <n v="25"/>
    <n v="100"/>
    <s v="Gurgoan"/>
    <s v="Haryana"/>
    <x v="0"/>
    <s v="IN"/>
    <s v="12:59"/>
    <s v="13:17"/>
    <n v="1080"/>
    <n v="3"/>
    <n v="4"/>
    <n v="34"/>
    <s v="Male"/>
    <s v="I was wearing a yellow t-shirt with jeans."/>
    <x v="2"/>
    <s v="Male, approximately 5'5' in height, medium build with black hair, and was wearing a branded t-shirt with jeans."/>
    <s v="Yes"/>
    <s v="Yes"/>
    <s v="Yes"/>
    <s v="Yes"/>
    <s v="Yes"/>
    <s v="No"/>
    <x v="0"/>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n v="84"/>
    <n v="89"/>
    <n v="80"/>
    <n v="80"/>
    <n v="100"/>
    <n v="63"/>
    <n v="100"/>
    <n v="88"/>
    <n v="100"/>
    <s v="Jaipur"/>
    <s v="Rajasthan"/>
    <x v="0"/>
    <s v="IN"/>
    <s v="15:35"/>
    <s v="16:06"/>
    <n v="1860"/>
    <n v="2"/>
    <n v="1"/>
    <n v="28"/>
    <s v="Male"/>
    <s v="I was wearing a black shirt with pants."/>
    <x v="3"/>
    <s v="Female, approximately 5ft in height, fair complexion with medium-length black hair, sdid not wear spectacles and was wearing an orange t-shirt, in her 20s, medium build."/>
    <s v="Yes"/>
    <s v="Yes"/>
    <s v="Yes"/>
    <s v="No"/>
    <s v="Yes"/>
    <s v="No"/>
    <x v="0"/>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n v="84"/>
    <n v="89"/>
    <n v="80"/>
    <n v="80"/>
    <n v="100"/>
    <n v="63"/>
    <n v="100"/>
    <n v="88"/>
    <n v="100"/>
    <s v="Udaipur"/>
    <s v="Rajasthan"/>
    <x v="0"/>
    <s v="IN"/>
    <s v="13:55"/>
    <s v="14:30"/>
    <n v="2100"/>
    <n v="1"/>
    <n v="1"/>
    <n v="28"/>
    <s v="Male"/>
    <s v="I was wearing a grey formal shirt with pants."/>
    <x v="4"/>
    <s v="Male, approximately 5'5' in height, wheatish complexion, black short hair, did not wear spectacles and was wearing an orange t-shirt, in his 20s, medium build."/>
    <s v="Yes"/>
    <s v="Yes"/>
    <s v="Yes"/>
    <s v="No"/>
    <s v="Yes"/>
    <s v="No"/>
    <x v="0"/>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n v="90"/>
    <n v="100"/>
    <n v="100"/>
    <n v="100"/>
    <n v="83"/>
    <n v="88"/>
    <n v="100"/>
    <n v="63"/>
    <n v="100"/>
    <s v="Chennai"/>
    <s v="Tamil Nadu"/>
    <x v="2"/>
    <s v="IN"/>
    <s v="12:17"/>
    <s v="12:33"/>
    <n v="960"/>
    <n v="1"/>
    <n v="1"/>
    <n v="60"/>
    <s v="Female"/>
    <s v="I was wearing dark blue jeans with a long maroon-colored top."/>
    <x v="5"/>
    <s v="Male, in his mid-late 20s, approximately 5'6' in height, fair complexion, clean-shaven, well-built with black short hair, and was wearing the Company branded orange t-shirt with plain jeans and shoes He had his name tag on."/>
    <s v="Yes"/>
    <s v="Yes"/>
    <s v="Yes"/>
    <s v="Yes"/>
    <s v="Yes"/>
    <s v="No"/>
    <x v="0"/>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n v="36"/>
    <n v="78"/>
    <n v="90"/>
    <n v="0"/>
    <n v="0"/>
    <n v="0"/>
    <n v="0"/>
    <n v="25"/>
    <n v="0"/>
    <s v="Mumbai"/>
    <s v="Maharashtra"/>
    <x v="1"/>
    <s v="IN"/>
    <s v="17:45"/>
    <s v="18:00"/>
    <n v="900"/>
    <n v="1"/>
    <n v="1"/>
    <n v="32"/>
    <s v="Male"/>
    <s v="I was wearing formals during my visit."/>
    <x v="6"/>
    <s v="Male, approximately 5'5' in height, fair complexion, black hair, was wearing the Company branded t-shirt, plain jeans, shoes, and was not clean shaven."/>
    <s v="Yes"/>
    <s v="Yes"/>
    <s v="Yes"/>
    <s v="No"/>
    <s v="No"/>
    <s v="No"/>
    <x v="0"/>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n v="34"/>
    <n v="78"/>
    <n v="60"/>
    <n v="40"/>
    <n v="0"/>
    <n v="0"/>
    <n v="33"/>
    <n v="13"/>
    <n v="0"/>
    <s v="Mumbai"/>
    <s v="Maharashtra"/>
    <x v="1"/>
    <s v="IN"/>
    <s v="12:00"/>
    <s v="12:15"/>
    <n v="900"/>
    <n v="2"/>
    <n v="1"/>
    <n v="32"/>
    <s v="Male"/>
    <s v="I was wearing a black t-shirt with blue colored denim."/>
    <x v="7"/>
    <s v="Male, approximately 5'9' in height, fair complexion, black hair, clean-shaven, and was wearing a jacket with shoes."/>
    <s v="Yes"/>
    <s v="Yes"/>
    <s v="Yes"/>
    <s v="No"/>
    <s v="No"/>
    <s v="No"/>
    <x v="0"/>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n v="74"/>
    <n v="78"/>
    <n v="90"/>
    <n v="40"/>
    <n v="50"/>
    <n v="100"/>
    <n v="100"/>
    <n v="50"/>
    <n v="100"/>
    <s v="Mumbai"/>
    <s v="Maharashtra"/>
    <x v="1"/>
    <s v="IN"/>
    <s v="12:00"/>
    <s v="12:15"/>
    <n v="900"/>
    <n v="1"/>
    <n v="1"/>
    <n v="32"/>
    <s v="Male"/>
    <s v="I was wearing a t-shirt with jeans."/>
    <x v="8"/>
    <s v="Male, approximately 5'2' in height, fair complexion with black hair, not shaven, and was wearing the Company branded t-shirt with plain jeans and shoes."/>
    <s v="Yes"/>
    <s v="Yes"/>
    <s v="Yes"/>
    <s v="No"/>
    <s v="No"/>
    <s v="No"/>
    <x v="0"/>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n v="74"/>
    <n v="78"/>
    <n v="90"/>
    <n v="60"/>
    <n v="17"/>
    <n v="100"/>
    <n v="100"/>
    <n v="63"/>
    <n v="100"/>
    <s v="Mumbai"/>
    <s v="Maharashtra"/>
    <x v="1"/>
    <s v="IN"/>
    <s v="17:30"/>
    <s v="17:45"/>
    <n v="900"/>
    <n v="3"/>
    <n v="0"/>
    <n v="32"/>
    <s v="Male"/>
    <s v="T-shirt and jeans"/>
    <x v="9"/>
    <s v="Male, approximately 5'5' in height, fair complexion, black hair, and wore the Company branded t-shirt with plain jeans and shoes. Did not shave."/>
    <s v="Yes"/>
    <s v="Yes"/>
    <s v="Yes"/>
    <s v="No"/>
    <s v="No"/>
    <s v="No"/>
    <x v="0"/>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n v="86"/>
    <n v="78"/>
    <n v="80"/>
    <n v="100"/>
    <n v="100"/>
    <n v="100"/>
    <n v="100"/>
    <n v="63"/>
    <n v="100"/>
    <s v="Mumbai"/>
    <s v="Maharashtra"/>
    <x v="1"/>
    <s v="IN"/>
    <s v="13:34"/>
    <s v="14:00"/>
    <n v="1560"/>
    <n v="2"/>
    <n v="1"/>
    <n v="32"/>
    <s v="Male"/>
    <s v="I was wearing a t-shirt with denims."/>
    <x v="10"/>
    <s v="Male, approximately 5'5' in height, brown complexion, black hair, was wearing a shirt with plain jeans, shoes, and no shave."/>
    <s v="Yes"/>
    <s v="Yes"/>
    <s v="Yes"/>
    <s v="No"/>
    <s v="No"/>
    <s v="No"/>
    <x v="0"/>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n v="70"/>
    <n v="78"/>
    <n v="60"/>
    <n v="100"/>
    <n v="50"/>
    <n v="88"/>
    <n v="100"/>
    <n v="38"/>
    <n v="100"/>
    <s v="Mumbai"/>
    <s v="Maharashtra"/>
    <x v="1"/>
    <s v="IN"/>
    <s v="14:25"/>
    <s v="14:40"/>
    <n v="900"/>
    <n v="2"/>
    <n v="1"/>
    <n v="32"/>
    <s v="Male"/>
    <s v="I was wearing a t-shirt with denims."/>
    <x v="11"/>
    <s v="Male, approximately 5'6' in height, fair complexion, black hair, and was wearing the Company brand t-shirt, plain jeans, shoes, and no shave."/>
    <s v="Yes"/>
    <s v="Yes"/>
    <s v="Yes"/>
    <s v="No"/>
    <s v="No"/>
    <s v="No"/>
    <x v="0"/>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n v="84"/>
    <n v="89"/>
    <n v="89"/>
    <n v="80"/>
    <n v="83"/>
    <n v="100"/>
    <n v="100"/>
    <n v="50"/>
    <n v="100"/>
    <s v="Bangalore"/>
    <s v="Karnataka"/>
    <x v="2"/>
    <s v="IN"/>
    <s v="16:39"/>
    <s v="17:04"/>
    <n v="1500"/>
    <n v="2"/>
    <n v="3"/>
    <n v="40"/>
    <s v="Male"/>
    <s v="I was wearing a black jeans with red and blue shorts."/>
    <x v="12"/>
    <s v="Male, tall in height, fair complexion, clean-shaven, was wearing an orange t-shirt, thin build."/>
    <s v="Yes"/>
    <s v="Yes"/>
    <s v="Yes"/>
    <s v="No"/>
    <s v="Yes"/>
    <s v="No"/>
    <x v="0"/>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n v="78"/>
    <n v="78"/>
    <n v="100"/>
    <n v="80"/>
    <n v="83"/>
    <n v="50"/>
    <n v="100"/>
    <n v="63"/>
    <n v="100"/>
    <s v="Hyderabad"/>
    <s v="Telangana"/>
    <x v="2"/>
    <s v="IN"/>
    <s v="17:41"/>
    <s v="18:15"/>
    <n v="2040"/>
    <n v="2"/>
    <n v="1"/>
    <n v="28"/>
    <s v="Male"/>
    <s v="I was wearing a t-shirt with jeans."/>
    <x v="13"/>
    <s v="Male, approximately 5'6' in height, thin and medium build with a fair complexion, black hair, and a beard. He must have been around 28years old. He was wearing the Company branded t-shirt with plain jeans and he did not have any spectacles on."/>
    <s v="Yes"/>
    <s v="Yes"/>
    <s v="Yes"/>
    <s v="No"/>
    <s v="No"/>
    <s v="No"/>
    <x v="0"/>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n v="61"/>
    <n v="78"/>
    <n v="67"/>
    <n v="60"/>
    <n v="83"/>
    <n v="38"/>
    <n v="67"/>
    <n v="38"/>
    <n v="100"/>
    <s v="Pune"/>
    <s v="Maharashtra"/>
    <x v="1"/>
    <s v="IN"/>
    <s v="14:23"/>
    <s v="14:51"/>
    <n v="1680"/>
    <n v="3"/>
    <n v="1"/>
    <n v="31"/>
    <s v="Male"/>
    <s v="I was wearing a black t-shirt with blue jeans."/>
    <x v="14"/>
    <s v="Male, approximately 5'7'' in height, fair complexion, and was wearing the Company branded t-shirt."/>
    <s v="Yes"/>
    <s v="Yes"/>
    <s v="Yes"/>
    <s v="No"/>
    <s v="No"/>
    <s v="No"/>
    <x v="0"/>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n v="78"/>
    <n v="89"/>
    <n v="100"/>
    <n v="80"/>
    <n v="50"/>
    <n v="88"/>
    <n v="67"/>
    <n v="50"/>
    <n v="100"/>
    <s v="Mumbai"/>
    <s v="Maharashtra"/>
    <x v="1"/>
    <s v="IN"/>
    <s v="16:52"/>
    <s v="17:30"/>
    <n v="2280"/>
    <s v="02"/>
    <n v="1"/>
    <n v="57"/>
    <s v="Male"/>
    <s v="I was wearing a red and black check shirt, pants, shoes, and spectacles."/>
    <x v="15"/>
    <s v="Male, approximately 5'6' in height, fair complexion, black hair, was wearing the Company branded t-shirt, plain jeans, shoes, clean shaven and hairstyle done."/>
    <s v="Yes"/>
    <s v="Yes"/>
    <s v="Yes"/>
    <s v="Yes"/>
    <s v="No"/>
    <s v="No"/>
    <x v="0"/>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n v="89"/>
    <n v="89"/>
    <n v="100"/>
    <n v="80"/>
    <n v="83"/>
    <n v="88"/>
    <n v="67"/>
    <n v="100"/>
    <n v="100"/>
    <s v="Mumbai"/>
    <s v="Maharashtra"/>
    <x v="1"/>
    <s v="IN"/>
    <s v="17:24"/>
    <s v="18:04"/>
    <n v="2400"/>
    <n v="2"/>
    <n v="1"/>
    <n v="57"/>
    <s v="Male"/>
    <s v="I was wearing a colorful shirt with pants and shoes."/>
    <x v="16"/>
    <s v="Male, approximately 5'5' in height, light fair complexion, black hair, and was wearing the Sunglass branded t-shirt, pants, and shoes, clean-shaven, with a proper hairstyle, style advisor had an ID card."/>
    <s v="Yes"/>
    <s v="Yes"/>
    <s v="Yes"/>
    <s v="No"/>
    <s v="Yes"/>
    <s v="No"/>
    <x v="0"/>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n v="65"/>
    <n v="89"/>
    <n v="89"/>
    <n v="80"/>
    <n v="50"/>
    <n v="25"/>
    <n v="33"/>
    <n v="63"/>
    <n v="100"/>
    <s v="Cochin"/>
    <s v="Kerala"/>
    <x v="2"/>
    <s v="IN"/>
    <s v="15:05"/>
    <s v="15:30"/>
    <n v="1500"/>
    <n v="2"/>
    <n v="1"/>
    <n v="42"/>
    <s v="Male"/>
    <s v="I was wearing a formal shirt and trousers."/>
    <x v="17"/>
    <s v="Male approximately 5'11'' in height, wore spectacles, fair complexion with black hair, and was wearing a casual shirt with blue jeans."/>
    <s v="Yes"/>
    <s v="Yes"/>
    <s v="Yes"/>
    <s v="No"/>
    <s v="Yes"/>
    <s v="No"/>
    <x v="0"/>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n v="76"/>
    <n v="89"/>
    <n v="89"/>
    <n v="80"/>
    <n v="50"/>
    <n v="75"/>
    <n v="100"/>
    <n v="63"/>
    <n v="0"/>
    <s v="Ludhiana"/>
    <s v="Punjab"/>
    <x v="0"/>
    <s v="IN"/>
    <s v="12:45"/>
    <s v="13:10"/>
    <n v="1500"/>
    <n v="1"/>
    <n v="1"/>
    <n v="43"/>
    <s v="Male"/>
    <s v="I was wearing a off white shirt with brown trousers."/>
    <x v="18"/>
    <s v="Male, approximately 5'7' in height, fair complexion, black hair, wore no spectacles, was wearing the Company branded t-shirt, plain jeans, shoes, was clean shaven and hairstyle done."/>
    <s v="Yes"/>
    <s v="Yes"/>
    <s v="Yes"/>
    <s v="Yes"/>
    <s v="No"/>
    <s v="No"/>
    <x v="0"/>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n v="82"/>
    <n v="89"/>
    <n v="90"/>
    <n v="80"/>
    <n v="50"/>
    <n v="88"/>
    <n v="100"/>
    <n v="75"/>
    <n v="100"/>
    <s v="Amritsar"/>
    <s v="Punjab"/>
    <x v="0"/>
    <s v="IN"/>
    <s v="12:55"/>
    <s v="13:16"/>
    <n v="1260"/>
    <n v="3"/>
    <n v="1"/>
    <n v="43"/>
    <s v="Male"/>
    <s v="I was wearing a navy pant and shirt."/>
    <x v="0"/>
    <s v="Male, approximately 5'7'' in height, fair complexion, black hair, wore no spectacles, was wearing the Company branded uniform with plain jeans and shoes, clean-shaven, the hairstyle was done in a proper manner."/>
    <s v="Yes"/>
    <s v="Yes"/>
    <s v="Yes"/>
    <s v="Yes"/>
    <s v="No"/>
    <s v="No"/>
    <x v="0"/>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n v="89"/>
    <n v="100"/>
    <n v="100"/>
    <n v="83"/>
    <n v="88"/>
    <n v="100"/>
    <n v="63"/>
    <n v="100"/>
    <s v="Amritsar"/>
    <s v="Punjab"/>
    <x v="0"/>
    <s v="IN"/>
    <s v="14:10"/>
    <s v="14:35"/>
    <n v="1500"/>
    <n v="3"/>
    <n v="1"/>
    <n v="40"/>
    <s v="Male"/>
    <s v="I was wearing a blue trouser and shirt."/>
    <x v="19"/>
    <s v="Male, approximately 5'7'' in height, wheatish complexion, black hair, did not wear spectacles, was wearing the Company branded shirt with plain jeans and shoes, had no beard, and the hairstyle was done in a proper manner."/>
    <s v="Yes"/>
    <s v="Yes"/>
    <s v="Yes"/>
    <s v="Yes"/>
    <s v="No"/>
    <s v="No"/>
    <x v="0"/>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n v="71"/>
    <n v="100"/>
    <n v="67"/>
    <n v="80"/>
    <n v="50"/>
    <n v="88"/>
    <n v="0"/>
    <n v="57"/>
    <n v="100"/>
    <s v="Delhi"/>
    <s v="Delhi (UT)"/>
    <x v="0"/>
    <s v="IN"/>
    <s v="17:15"/>
    <s v="17:43"/>
    <n v="1680"/>
    <n v="4"/>
    <n v="2"/>
    <n v="52"/>
    <s v="Male"/>
    <s v="I wore a polo t-shirt along with jeans and sneakers."/>
    <x v="20"/>
    <s v="Male, approximately 5'11' in height, fair complexion, black hair, was wearing a black and white suit, wore spectacles, and had a beard."/>
    <s v="Yes"/>
    <s v="Yes"/>
    <s v="Yes"/>
    <s v="Yes"/>
    <s v="Yes"/>
    <s v="No"/>
    <x v="0"/>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n v="89"/>
    <n v="78"/>
    <n v="80"/>
    <n v="50"/>
    <n v="75"/>
    <n v="0"/>
    <n v="43"/>
    <n v="100"/>
    <s v="Delhi"/>
    <s v="Delhi (UT)"/>
    <x v="0"/>
    <s v="IN"/>
    <s v="16:35"/>
    <s v="16:52"/>
    <n v="1020"/>
    <n v="4"/>
    <n v="2"/>
    <n v="52"/>
    <s v="Male"/>
    <s v="I wore a polo t-shirt along with jeans and sneakers."/>
    <x v="19"/>
    <s v="Male, approximately 5'9' in height, fair complexion, black hair, wore an orange t-shirt with plain jeans and casual shoes, wore no spectacles, and had a light beard."/>
    <s v="Yes"/>
    <s v="Yes"/>
    <s v="Yes"/>
    <s v="No"/>
    <s v="Yes"/>
    <s v="No"/>
    <x v="0"/>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n v="78"/>
    <n v="78"/>
    <n v="60"/>
    <n v="50"/>
    <n v="38"/>
    <n v="67"/>
    <n v="43"/>
    <n v="100"/>
    <s v="Delhi"/>
    <s v="Delhi (UT)"/>
    <x v="0"/>
    <s v="IN"/>
    <s v="13:30"/>
    <s v="13:46"/>
    <n v="960"/>
    <n v="2"/>
    <n v="1"/>
    <n v="52"/>
    <s v="Male"/>
    <s v="Wore a polo t-shirt along with jeans &amp; sneakers"/>
    <x v="21"/>
    <s v="Male, approximately 5'10' in height, was slim with black hair set in a proper hairstyle. He wore an orange Company uniform t-shirt and he did not have any specs on."/>
    <s v="Yes"/>
    <s v="Yes"/>
    <s v="Yes"/>
    <s v="No"/>
    <s v="No"/>
    <s v="No"/>
    <x v="0"/>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n v="89"/>
    <n v="89"/>
    <n v="80"/>
    <n v="83"/>
    <n v="75"/>
    <n v="67"/>
    <n v="71"/>
    <n v="100"/>
    <s v="Delhi"/>
    <s v="Delhi (UT)"/>
    <x v="0"/>
    <s v="IN"/>
    <s v="15:18"/>
    <s v="15:38"/>
    <n v="1200"/>
    <n v="3"/>
    <n v="1"/>
    <n v="52"/>
    <s v="Male"/>
    <s v="I wore a polo t-shirt along with jeans and sneakers."/>
    <x v="22"/>
    <s v="Male, approximately 5'8' in height, fair complexion, black hair, wore an orange t-shirt with plain jeans."/>
    <s v="Yes"/>
    <s v="Yes"/>
    <s v="Yes"/>
    <s v="No"/>
    <s v="Yes"/>
    <s v="No"/>
    <x v="0"/>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n v="78"/>
    <n v="89"/>
    <n v="89"/>
    <n v="80"/>
    <n v="83"/>
    <n v="63"/>
    <n v="100"/>
    <n v="50"/>
    <n v="100"/>
    <s v="Bangalore"/>
    <s v="Karnataka"/>
    <x v="2"/>
    <s v="IN"/>
    <s v="13:23"/>
    <s v="13:55"/>
    <n v="1920"/>
    <n v="1"/>
    <n v="1"/>
    <n v="39"/>
    <s v="Male"/>
    <s v="I was wearing a lavender shirt with blue jeans."/>
    <x v="23"/>
    <s v="Male, medium build and height, aged somewhere between 30-35 years with neatly groomed black hair and was wearing a yellow t-shirt with blue jeans and was clean-shaven."/>
    <s v="Yes"/>
    <s v="Yes"/>
    <s v="Yes"/>
    <s v="No"/>
    <s v="Yes"/>
    <s v="No"/>
    <x v="0"/>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n v="92"/>
    <n v="78"/>
    <n v="100"/>
    <n v="100"/>
    <n v="100"/>
    <n v="100"/>
    <n v="100"/>
    <n v="75"/>
    <n v="100"/>
    <s v="Pune"/>
    <s v="Maharashtra"/>
    <x v="1"/>
    <s v="IN"/>
    <s v="15:05"/>
    <s v="15:30"/>
    <n v="1500"/>
    <n v="3"/>
    <n v="3"/>
    <n v="35"/>
    <s v="Male"/>
    <s v="I was wearing a t-shirt and jeans."/>
    <x v="24"/>
    <s v="Male, approximately 5'7' in height, wheatish complexion and medium build."/>
    <s v="Yes"/>
    <s v="Yes"/>
    <s v="Yes"/>
    <s v="No"/>
    <s v="No"/>
    <s v="No"/>
    <x v="0"/>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n v="89"/>
    <n v="78"/>
    <n v="80"/>
    <n v="17"/>
    <n v="38"/>
    <n v="100"/>
    <n v="25"/>
    <n v="100"/>
    <s v="Coimatore"/>
    <s v="Tamil Nadu"/>
    <x v="2"/>
    <s v="IN"/>
    <s v="12:45"/>
    <s v="12:55"/>
    <n v="600"/>
    <n v="2"/>
    <n v="1"/>
    <n v="37"/>
    <s v="Male"/>
    <s v="I was wearing a casual dress."/>
    <x v="25"/>
    <s v="Male, approximately 5'7' in height, fair complexion, black hair and wore a branded t-shirt."/>
    <s v="Yes"/>
    <s v="Yes"/>
    <s v="Yes"/>
    <s v="No"/>
    <s v="Yes"/>
    <s v="No"/>
    <x v="0"/>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n v="100"/>
    <n v="33"/>
    <n v="20"/>
    <n v="0"/>
    <n v="0"/>
    <n v="33"/>
    <n v="25"/>
    <n v="0"/>
    <s v="Guwahati"/>
    <s v="Assam"/>
    <x v="0"/>
    <s v="IN"/>
    <s v="12:17"/>
    <s v="12:27"/>
    <n v="600"/>
    <n v="1"/>
    <n v="0"/>
    <n v="43"/>
    <s v="Male"/>
    <s v="I was wearing casual jeans with a shirt and Adidas shoes."/>
    <x v="26"/>
    <s v="Male, approximately 5'6' in height, black hair, fair complexion. He was well dressed and was wearing the Company uniform. with plain jeans and shoes, clean-shaven with combed hair."/>
    <s v="Yes"/>
    <s v="Yes"/>
    <s v="Yes"/>
    <s v="Yes"/>
    <s v="Yes"/>
    <s v="No"/>
    <x v="0"/>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n v="64"/>
    <n v="89"/>
    <n v="80"/>
    <n v="0"/>
    <n v="83"/>
    <n v="38"/>
    <n v="100"/>
    <n v="63"/>
    <n v="0"/>
    <s v="Kolkatta"/>
    <s v="West Bengal"/>
    <x v="3"/>
    <s v="IN"/>
    <s v="16:28"/>
    <s v="16:52"/>
    <n v="1440"/>
    <n v="2"/>
    <n v="1"/>
    <n v="27"/>
    <s v="Female"/>
    <s v="I was wearing a grey kurti with the white palazzo and black flat shoes and had a side bag."/>
    <x v="27"/>
    <s v="Male, approximately 5'5' in height, fair complexion, black hair, was wearing the Company branded t-shirt along with the ID card and wore jeans with black shoes, clean-shaven and hairstyle was done in a nice manner."/>
    <s v="Yes"/>
    <s v="Yes"/>
    <s v="Yes"/>
    <s v="No"/>
    <s v="Yes"/>
    <s v="No"/>
    <x v="0"/>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n v="69"/>
    <n v="89"/>
    <n v="78"/>
    <n v="100"/>
    <n v="50"/>
    <n v="38"/>
    <n v="100"/>
    <n v="50"/>
    <n v="100"/>
    <s v="Bangalore"/>
    <s v="Karnataka"/>
    <x v="2"/>
    <s v="IN"/>
    <s v="13:50"/>
    <s v="14:25"/>
    <n v="2100"/>
    <n v="1"/>
    <n v="1"/>
    <n v="42"/>
    <s v="Male"/>
    <s v="I was wearing a formal shirt and trousers."/>
    <x v="28"/>
    <s v="Male, approximately 5'10' in height, fair complexion, black hair, was wearing the Company t-shirt and blue jeans, had a beard."/>
    <s v="Yes"/>
    <s v="Yes"/>
    <s v="Yes"/>
    <s v="No"/>
    <s v="Yes"/>
    <s v="No"/>
    <x v="0"/>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n v="83"/>
    <n v="89"/>
    <n v="67"/>
    <n v="100"/>
    <n v="100"/>
    <n v="75"/>
    <n v="100"/>
    <n v="71"/>
    <n v="100"/>
    <s v="Kolkatta"/>
    <s v="West Bengal"/>
    <x v="3"/>
    <s v="IN"/>
    <s v="17:45"/>
    <s v="18:10"/>
    <n v="1500"/>
    <n v="2"/>
    <n v="1"/>
    <n v="40"/>
    <s v="Female"/>
    <s v="I was wearing a yellow printed kurta with a beige coloured dupatta."/>
    <x v="29"/>
    <s v="Male, average height, fair complexion, short black hair, around 30 years old, and medium build."/>
    <s v="Yes"/>
    <s v="Yes"/>
    <s v="Yes"/>
    <s v="No"/>
    <s v="Yes"/>
    <s v="No"/>
    <x v="0"/>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n v="100"/>
    <n v="89"/>
    <n v="100"/>
    <n v="100"/>
    <n v="100"/>
    <n v="100"/>
    <n v="75"/>
    <n v="100"/>
    <s v="Chennai"/>
    <s v="Tamil Nadu"/>
    <x v="2"/>
    <s v="IN"/>
    <s v="20:31"/>
    <s v="20:52"/>
    <n v="1260"/>
    <n v="1"/>
    <n v="2"/>
    <n v="60"/>
    <s v="Female"/>
    <s v="I was wearing a pale blue jeans top and dark blue jeggings."/>
    <x v="30"/>
    <s v="Male, 5'4'' in height, wheatish complexion, black hair, was wearing the Company branded orange t-shirt with the name tag, medium build, in his late 20's/early30's."/>
    <s v="Yes"/>
    <s v="Yes"/>
    <s v="Yes"/>
    <s v="Yes"/>
    <s v="Yes"/>
    <s v="No"/>
    <x v="0"/>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n v="100"/>
    <n v="70"/>
    <n v="80"/>
    <n v="83"/>
    <n v="100"/>
    <n v="100"/>
    <n v="38"/>
    <n v="100"/>
    <s v="Pune"/>
    <s v="Maharashtra"/>
    <x v="1"/>
    <s v="IN"/>
    <s v="14:58"/>
    <s v="15:32"/>
    <n v="2040"/>
    <n v="3"/>
    <n v="7"/>
    <n v="40"/>
    <s v="Female"/>
    <s v="I was wearing a t-shirt with pants."/>
    <x v="31"/>
    <s v="Male, approximately 5'6'' in height, black hair, was wearing a plain blue jeans with black colour shoes, was wearing a mask, and medium build."/>
    <s v="Yes"/>
    <s v="Yes"/>
    <s v="Yes"/>
    <s v="Yes"/>
    <s v="Yes"/>
    <s v="No"/>
    <x v="0"/>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n v="82"/>
    <n v="78"/>
    <n v="89"/>
    <n v="60"/>
    <n v="100"/>
    <n v="88"/>
    <n v="100"/>
    <n v="63"/>
    <n v="100"/>
    <s v="Kanpur"/>
    <s v="Uttar Pradesh"/>
    <x v="0"/>
    <s v="IN"/>
    <s v="16:05"/>
    <s v="16:36"/>
    <n v="1860"/>
    <n v="3"/>
    <n v="3"/>
    <n v="33"/>
    <s v="Female"/>
    <s v="I was wearing a palazzo and Kurti."/>
    <x v="32"/>
    <s v="Male, approximately 5'88' in height, fair complexion, light brown hair color, was not wearing spectacles and was wearing the Company uniform, clean-shaven and their hairstyle was done properly."/>
    <s v="Yes"/>
    <s v="Yes"/>
    <s v="Yes"/>
    <s v="No"/>
    <s v="Yes"/>
    <s v="Yes"/>
    <x v="0"/>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n v="84"/>
    <n v="78"/>
    <n v="89"/>
    <n v="80"/>
    <n v="100"/>
    <n v="75"/>
    <n v="100"/>
    <n v="75"/>
    <n v="100"/>
    <s v="Surat"/>
    <s v="Gujarat"/>
    <x v="1"/>
    <s v="IN"/>
    <s v="17:48"/>
    <s v="18:20"/>
    <n v="1920"/>
    <n v="3"/>
    <n v="1"/>
    <n v="35"/>
    <s v="Female"/>
    <s v="I was wearing a kurti with leggings."/>
    <x v="33"/>
    <s v="Male, approximately 5'5' in height, wheatish complexion, black short hair, did not wear spectacles, was wearing an orange t-shirt with jeans, in his 20s, and medium build."/>
    <s v="Yes"/>
    <s v="Yes"/>
    <s v="Yes"/>
    <s v="No"/>
    <s v="No"/>
    <s v="No"/>
    <x v="0"/>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n v="73"/>
    <n v="89"/>
    <n v="89"/>
    <n v="80"/>
    <n v="50"/>
    <n v="63"/>
    <n v="100"/>
    <n v="50"/>
    <n v="100"/>
    <s v="Hyderabad"/>
    <s v="Telangana"/>
    <x v="2"/>
    <s v="IN"/>
    <s v="16:00"/>
    <s v="16:29"/>
    <n v="1740"/>
    <n v="2"/>
    <n v="2"/>
    <n v="45"/>
    <s v="Female"/>
    <s v="I was wearing a saree."/>
    <x v="34"/>
    <s v="Male, approximately 5'5' in height, fair complexion, did not wear spectacles, was wearing the Company branded t-shirt with jeans, had a beard, in his 30s, medium build."/>
    <s v="Yes"/>
    <s v="Yes"/>
    <s v="Yes"/>
    <s v="No"/>
    <s v="Yes"/>
    <s v="No"/>
    <x v="0"/>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n v="78"/>
    <n v="67"/>
    <n v="0"/>
    <n v="17"/>
    <n v="13"/>
    <n v="67"/>
    <n v="25"/>
    <n v="0"/>
    <s v="Hyderabad"/>
    <s v="Telangana"/>
    <x v="2"/>
    <s v="IN"/>
    <s v="15:30"/>
    <s v="15:55"/>
    <n v="1500"/>
    <n v="1"/>
    <n v="1"/>
    <n v="55"/>
    <s v="Male"/>
    <s v="I was wearing a trouser and sweatshirt."/>
    <x v="35"/>
    <s v="Male, approximately 5'10' in height, fair complexion, and was wearing an orange t-shirt, jeans, and shoes, had a beard, was around 24 years and medium build."/>
    <s v="Yes"/>
    <s v="Yes"/>
    <s v="Yes"/>
    <s v="No"/>
    <s v="Yes"/>
    <s v="No"/>
    <x v="0"/>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n v="71"/>
    <n v="89"/>
    <n v="78"/>
    <n v="60"/>
    <n v="50"/>
    <n v="75"/>
    <n v="67"/>
    <n v="63"/>
    <n v="100"/>
    <s v="Hyderabad"/>
    <s v="Telangana"/>
    <x v="2"/>
    <s v="IN"/>
    <s v="13:08"/>
    <s v="13:36"/>
    <n v="1680"/>
    <n v="2"/>
    <n v="1"/>
    <n v="56"/>
    <s v="Male"/>
    <s v="I was wearing chinos with sweatshirt."/>
    <x v="36"/>
    <s v="Male, approximately 5'6' in height, fair complexion, and was wearing an orange t-shirt, and jeans, had a beard, and a slim build, in his 30s."/>
    <s v="Yes"/>
    <s v="Yes"/>
    <s v="Yes"/>
    <s v="No"/>
    <s v="Yes"/>
    <s v="No"/>
    <x v="0"/>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n v="100"/>
    <n v="100"/>
    <n v="100"/>
    <n v="100"/>
    <n v="100"/>
    <n v="100"/>
    <n v="100"/>
    <n v="100"/>
    <n v="100"/>
    <s v="Lucknow"/>
    <s v="Uttar Pradesh"/>
    <x v="0"/>
    <s v="IN"/>
    <s v="15:45"/>
    <s v="16:07"/>
    <n v="1320"/>
    <n v="1"/>
    <n v="1"/>
    <n v="39"/>
    <s v="Female"/>
    <s v="I was wearing green color jeggings with a black polka dot top."/>
    <x v="37"/>
    <s v="Male, approximately 5'8' in height, wheatish complexion with black hair was wearing a proper uniform and wore no spectacles."/>
    <s v="Yes"/>
    <s v="Yes"/>
    <s v="Yes"/>
    <s v="Yes"/>
    <s v="Yes"/>
    <s v="No"/>
    <x v="0"/>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n v="94"/>
    <n v="89"/>
    <n v="90"/>
    <n v="100"/>
    <n v="100"/>
    <n v="100"/>
    <n v="100"/>
    <n v="88"/>
    <n v="100"/>
    <s v="Lucknow"/>
    <s v="Uttar Pradesh"/>
    <x v="0"/>
    <s v="IN"/>
    <s v="14:00"/>
    <s v="14:24"/>
    <n v="1440"/>
    <n v="2"/>
    <n v="1"/>
    <n v="39"/>
    <s v="Female"/>
    <s v="I was wearing green-shaded jeggings and a black polka-dot top."/>
    <x v="38"/>
    <s v="Male, approximately 5'7' in height, with no spectacles, wheatish complexion with black hair, and was wearing a proper uniform."/>
    <s v="Yes"/>
    <s v="Yes"/>
    <s v="Yes"/>
    <s v="No"/>
    <s v="Yes"/>
    <s v="No"/>
    <x v="0"/>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n v="52"/>
    <n v="78"/>
    <n v="33"/>
    <n v="40"/>
    <n v="50"/>
    <n v="25"/>
    <n v="100"/>
    <n v="57"/>
    <n v="100"/>
    <s v="Chennai"/>
    <s v="Tamil Nadu"/>
    <x v="2"/>
    <s v="IN"/>
    <s v="17:10"/>
    <s v="17:35"/>
    <n v="1500"/>
    <n v="1"/>
    <n v="1"/>
    <n v="27"/>
    <s v="Male"/>
    <s v="I was wearing a blue t-shirt with black jeans."/>
    <x v="39"/>
    <s v="Male, short in height, brown complexion and was wearing the Company uniform, well groomed, medium build, did not have a name tag on."/>
    <s v="Yes"/>
    <s v="Yes"/>
    <s v="Yes"/>
    <s v="No"/>
    <s v="Yes"/>
    <s v="No"/>
    <x v="0"/>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n v="62"/>
    <n v="100"/>
    <n v="80"/>
    <n v="0"/>
    <n v="50"/>
    <n v="50"/>
    <n v="100"/>
    <n v="50"/>
    <n v="0"/>
    <s v="Kolkatta"/>
    <s v="West Bengal"/>
    <x v="3"/>
    <s v="IN"/>
    <s v="16:09"/>
    <s v="16:32"/>
    <n v="1380"/>
    <n v="2"/>
    <n v="1"/>
    <n v="27"/>
    <s v="Female"/>
    <s v="I had my hair up in a ponytail and was wearing a reddish-brown Kurti with white palazzo, and black flat shoes, and carried a brown bag."/>
    <x v="40"/>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x v="0"/>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n v="94"/>
    <n v="100"/>
    <n v="100"/>
    <n v="100"/>
    <n v="100"/>
    <n v="100"/>
    <n v="100"/>
    <n v="63"/>
    <n v="100"/>
    <s v="Bhubaneshwar"/>
    <s v="Orissa"/>
    <x v="3"/>
    <s v="IN"/>
    <s v="17:01"/>
    <s v="17:52"/>
    <n v="3060"/>
    <n v="2"/>
    <n v="2"/>
    <n v="37"/>
    <s v="Male"/>
    <s v="I was wearing denim jeans and a round neck t-shirt."/>
    <x v="41"/>
    <s v="Female, approximately 5'4' in height, fair complexion, ablack hair, wore spectacles and was wearing the Company branded t-shirt, plain jeans, and shoes, looked smart."/>
    <s v="Yes"/>
    <s v="Yes"/>
    <s v="Yes"/>
    <s v="Yes"/>
    <s v="Yes"/>
    <s v="No"/>
    <x v="0"/>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n v="86"/>
    <n v="100"/>
    <n v="100"/>
    <n v="100"/>
    <n v="67"/>
    <n v="63"/>
    <n v="100"/>
    <n v="75"/>
    <n v="100"/>
    <s v="Vadodara"/>
    <s v="Gujarat"/>
    <x v="1"/>
    <s v="IN"/>
    <s v="14:29"/>
    <s v="14:53"/>
    <n v="1440"/>
    <n v="2"/>
    <n v="1"/>
    <n v="35"/>
    <s v="Male"/>
    <s v="I was wearing a white shirt that had blue strips with blue jeans and casual shoes."/>
    <x v="42"/>
    <s v="Male, approximately 5'4' in height, wheatish complexion, black hair, and was wearing the Company branded t-shirt with plain light blue jeans and closed shoes, clean-shaven and hairstyle was done in a proper manner, medium build."/>
    <s v="Yes"/>
    <s v="Yes"/>
    <s v="Yes"/>
    <s v="Yes"/>
    <s v="Yes"/>
    <s v="No"/>
    <x v="0"/>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n v="94"/>
    <n v="100"/>
    <n v="100"/>
    <n v="100"/>
    <n v="67"/>
    <n v="100"/>
    <n v="100"/>
    <n v="88"/>
    <n v="100"/>
    <s v="Delhi"/>
    <s v="Delhi (UT)"/>
    <x v="0"/>
    <s v="IN"/>
    <s v="15:15"/>
    <s v="15:40"/>
    <n v="1500"/>
    <n v="2"/>
    <n v="1"/>
    <n v="28"/>
    <s v="Male"/>
    <s v="I was wearing jeans and shirt."/>
    <x v="29"/>
    <s v="Male, approximately 5'7' in height, wheatish complexion, black hair, wearing t-shirt, properly shaven, between 25-30 years and slim."/>
    <s v="Yes"/>
    <s v="Yes"/>
    <s v="Yes"/>
    <s v="Yes"/>
    <s v="Yes"/>
    <s v="No"/>
    <x v="0"/>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x v="43"/>
    <s v="Female, approximately 4'7' in height, wheatish complexion, black hair, and was wearing a black colored shirt with pants and shoes."/>
    <s v="Yes"/>
    <s v="Yes"/>
    <s v="Yes"/>
    <s v="No"/>
    <s v="No"/>
    <s v="No"/>
    <x v="0"/>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n v="69"/>
    <n v="100"/>
    <n v="67"/>
    <n v="80"/>
    <n v="50"/>
    <n v="88"/>
    <n v="0"/>
    <n v="50"/>
    <n v="100"/>
    <s v="Delhi"/>
    <s v="Delhi (UT)"/>
    <x v="0"/>
    <s v="IN"/>
    <s v="12:55"/>
    <s v="13:14"/>
    <n v="1140"/>
    <n v="2"/>
    <n v="1"/>
    <n v="52"/>
    <s v="Male"/>
    <s v="I was wearing a formal shirt with trousers."/>
    <x v="44"/>
    <s v="Male, approximately 5'10' in height, fair complexion. black hair, did not wear spectacles, and was wearing an orange coloured t-shirt."/>
    <s v="Yes"/>
    <s v="Yes"/>
    <s v="Yes"/>
    <s v="Yes"/>
    <s v="Yes"/>
    <s v="No"/>
    <x v="0"/>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n v="100"/>
    <n v="78"/>
    <n v="80"/>
    <n v="50"/>
    <n v="75"/>
    <n v="0"/>
    <n v="50"/>
    <n v="100"/>
    <s v="Noida"/>
    <s v="Uttar Pradesh"/>
    <x v="0"/>
    <s v="IN"/>
    <s v="13:35"/>
    <s v="13:55"/>
    <n v="1200"/>
    <n v="3"/>
    <n v="2"/>
    <n v="52"/>
    <s v="Male"/>
    <s v="I was wearing a formal shirt and trouser."/>
    <x v="45"/>
    <s v="Male, approximately 5'7' in height, had no spectacles on, and was wearing an orange colored t-shirt."/>
    <s v="Yes"/>
    <s v="Yes"/>
    <s v="Yes"/>
    <s v="Yes"/>
    <s v="Yes"/>
    <s v="No"/>
    <x v="0"/>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n v="61"/>
    <n v="78"/>
    <n v="89"/>
    <n v="0"/>
    <n v="83"/>
    <n v="38"/>
    <n v="100"/>
    <n v="38"/>
    <n v="100"/>
    <s v="Hyderabad"/>
    <s v="Telangana"/>
    <x v="2"/>
    <s v="IN"/>
    <s v="16:50"/>
    <s v="17:18"/>
    <n v="1680"/>
    <n v="2"/>
    <n v="2"/>
    <n v="45"/>
    <s v="Female"/>
    <s v="I was wearing jeans and a top."/>
    <x v="46"/>
    <s v="Male, approximately 5'7' in height, dusky complexion, did not have any spectacles on and was wearing the Company branded orange t-shirt, light blue jeans, and black shoes,  bearded, must have been around 30 years, average build"/>
    <s v="Yes"/>
    <s v="Yes"/>
    <s v="Yes"/>
    <s v="No"/>
    <s v="No"/>
    <s v="No"/>
    <x v="0"/>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n v="92"/>
    <n v="100"/>
    <n v="100"/>
    <n v="100"/>
    <n v="100"/>
    <n v="75"/>
    <n v="100"/>
    <n v="75"/>
    <n v="100"/>
    <s v="Mumbai"/>
    <s v="Maharashtra"/>
    <x v="1"/>
    <s v="IN"/>
    <s v="16:15"/>
    <s v="17:00"/>
    <n v="2700"/>
    <n v="3"/>
    <n v="4"/>
    <n v="32"/>
    <s v="Male"/>
    <s v="I was wearing jeans and t-shirt."/>
    <x v="47"/>
    <s v="Male, approximately 5'9' in height, wheatish complexion, black hair, was wearing spectacles."/>
    <s v="Yes"/>
    <s v="Yes"/>
    <s v="Yes"/>
    <s v="Yes"/>
    <s v="Yes"/>
    <s v="No"/>
    <x v="0"/>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n v="96"/>
    <n v="100"/>
    <n v="100"/>
    <n v="80"/>
    <n v="83"/>
    <n v="100"/>
    <n v="100"/>
    <n v="100"/>
    <n v="100"/>
    <s v="Kolkatta"/>
    <s v="West Bengal"/>
    <x v="3"/>
    <s v="IN"/>
    <s v="15:00"/>
    <s v="16:16"/>
    <n v="4560"/>
    <n v="4"/>
    <n v="1"/>
    <n v="51"/>
    <s v="Female"/>
    <s v="I was wearing a white printed kurti and jeans."/>
    <x v="48"/>
    <s v="Female, approximately 5 feet in height, dark complexion, was wearing the Company branded t-shirt, plain black jeans, black shoes, and hair tied in a bun."/>
    <s v="Yes"/>
    <s v="Yes"/>
    <s v="Yes"/>
    <s v="Yes"/>
    <s v="Yes"/>
    <s v="No"/>
    <x v="0"/>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n v="34"/>
    <n v="89"/>
    <n v="70"/>
    <n v="0"/>
    <n v="0"/>
    <n v="0"/>
    <n v="67"/>
    <n v="0"/>
    <n v="0"/>
    <s v="Mumbai"/>
    <s v="Maharashtra"/>
    <x v="1"/>
    <s v="IN"/>
    <s v="14:00"/>
    <s v="14:22"/>
    <n v="1320"/>
    <n v="1"/>
    <n v="1"/>
    <n v="32"/>
    <s v="Male"/>
    <s v="I was wearing a t-shirt with denims."/>
    <x v="49"/>
    <s v="Male, approximately 5'5' in height, fair complexion, black hair, and was wearing the Company branded t-shirt, plain jeans, and shoes."/>
    <s v="Yes"/>
    <s v="Yes"/>
    <s v="Yes"/>
    <s v="Yes"/>
    <s v="No"/>
    <s v="No"/>
    <x v="0"/>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n v="53"/>
    <n v="89"/>
    <n v="78"/>
    <n v="20"/>
    <n v="50"/>
    <n v="13"/>
    <n v="67"/>
    <n v="38"/>
    <n v="100"/>
    <s v="Bangalore"/>
    <s v="Karnataka"/>
    <x v="2"/>
    <s v="IN"/>
    <s v="17:30"/>
    <s v="18:00"/>
    <n v="1800"/>
    <n v="2"/>
    <n v="3"/>
    <n v="41"/>
    <s v="Male"/>
    <s v="I was wearing jeans and a t-shirt."/>
    <x v="50"/>
    <s v="Male, approximately 5' 3' in height, wheatish complexion, black hair, wore no spectacles and was wearing the Company branded t-shirt, jeans and shoes, clean shaven and a neat hairstyle done."/>
    <s v="Yes"/>
    <s v="Yes"/>
    <s v="Yes"/>
    <s v="No"/>
    <s v="Yes"/>
    <s v="No"/>
    <x v="0"/>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n v="100"/>
    <n v="100"/>
    <n v="100"/>
    <n v="83"/>
    <n v="100"/>
    <n v="100"/>
    <n v="75"/>
    <n v="100"/>
    <s v="Chandigarth"/>
    <s v="Punjab"/>
    <x v="0"/>
    <s v="IN"/>
    <s v="12:46"/>
    <s v="13:09"/>
    <n v="1380"/>
    <n v="3"/>
    <n v="3"/>
    <n v="33"/>
    <s v="Male"/>
    <s v="I was wearing shirt with dark blue denims and white champions shoes."/>
    <x v="51"/>
    <s v="Male, approximately 5'7' in height, fair complexion, was wearing the Company brand uniform, slim build, a silver chain, and a face mask."/>
    <s v="Yes"/>
    <s v="Yes"/>
    <s v="Yes"/>
    <s v="Yes"/>
    <s v="Yes"/>
    <s v="No"/>
    <x v="0"/>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n v="78"/>
    <n v="67"/>
    <n v="40"/>
    <n v="50"/>
    <n v="88"/>
    <n v="33"/>
    <n v="38"/>
    <n v="100"/>
    <s v="Bhopal"/>
    <s v="Madhya Pradesh"/>
    <x v="3"/>
    <s v="IN"/>
    <s v="16:51"/>
    <s v="17:20"/>
    <n v="1740"/>
    <n v="1"/>
    <n v="2"/>
    <n v="29"/>
    <s v="Male"/>
    <s v="I was wearing formal shirt with trousers."/>
    <x v="52"/>
    <s v="Male, approximately 5'6' in height, fair complexion, black hair, wore spectacles, and was wearing a uniform, red jacket, and had a light beard."/>
    <s v="Yes"/>
    <s v="Yes"/>
    <s v="Yes"/>
    <s v="No"/>
    <s v="N/A"/>
    <s v="No"/>
    <x v="0"/>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n v="78"/>
    <n v="100"/>
    <n v="80"/>
    <n v="100"/>
    <n v="100"/>
    <n v="100"/>
    <n v="63"/>
    <n v="100"/>
    <s v="Chennai"/>
    <s v="Tamil Nadu"/>
    <x v="2"/>
    <s v="IN"/>
    <s v="16:11"/>
    <s v="16:32"/>
    <n v="1260"/>
    <n v="1"/>
    <n v="1"/>
    <n v="32"/>
    <s v="Male"/>
    <s v="I was wearing casual shirt, jeans with causal shoes."/>
    <x v="53"/>
    <s v="Male, approximately 5'5' in height, dark skin complexion, black hair did not wear spectacles, was wearing the Company orange t-shirt, plain jeans, black shoes, clean-shaven, and short hairstyle."/>
    <s v="Yes"/>
    <s v="Yes"/>
    <s v="Yes"/>
    <s v="No"/>
    <s v="No"/>
    <s v="No"/>
    <x v="0"/>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n v="77"/>
    <n v="100"/>
    <n v="89"/>
    <n v="80"/>
    <n v="17"/>
    <n v="100"/>
    <n v="100"/>
    <n v="57"/>
    <n v="0"/>
    <s v="Bangalore"/>
    <s v="Karnataka"/>
    <x v="2"/>
    <s v="IN"/>
    <s v="15:56"/>
    <s v="16:50"/>
    <n v="3240"/>
    <n v="1"/>
    <n v="2"/>
    <n v="23"/>
    <s v="Male"/>
    <s v="I was wearing blue jean and yellow hoodie."/>
    <x v="54"/>
    <s v="Female, black hair, was wearing the Company brand orange t-shirt, blue jeans and black shoes."/>
    <s v="N/A"/>
    <s v="Yes"/>
    <s v="Yes"/>
    <s v="Yes"/>
    <s v="N/A"/>
    <s v="No"/>
    <x v="0"/>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n v="78"/>
    <n v="56"/>
    <n v="20"/>
    <n v="0"/>
    <n v="0"/>
    <n v="33"/>
    <n v="29"/>
    <n v="0"/>
    <s v="Bangalore"/>
    <s v="Karnataka"/>
    <x v="2"/>
    <s v="IN"/>
    <s v="16:55"/>
    <s v="17:25"/>
    <n v="1800"/>
    <n v="4"/>
    <n v="5"/>
    <n v="41"/>
    <s v="Male"/>
    <s v="I was wearing jeans &amp; t-shirt."/>
    <x v="55"/>
    <s v="Male, approximately 5'3' in height, wheatish, black hair, no spectacles, and was wearing the Company branded t-shirt, jeans, shoes, clean-shaven, hairstyle done."/>
    <s v="Yes"/>
    <s v="Yes"/>
    <s v="Yes"/>
    <s v="No"/>
    <s v="No"/>
    <s v="No"/>
    <x v="0"/>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n v="78"/>
    <n v="67"/>
    <n v="40"/>
    <n v="0"/>
    <n v="0"/>
    <n v="0"/>
    <n v="25"/>
    <n v="0"/>
    <s v="Bangalore"/>
    <s v="Karnataka"/>
    <x v="2"/>
    <s v="IN"/>
    <s v="17:28"/>
    <s v="17:58"/>
    <n v="1800"/>
    <n v="2"/>
    <n v="2"/>
    <n v="41"/>
    <s v="Male"/>
    <s v="I was wearing jeans &amp; t-shirt."/>
    <x v="56"/>
    <s v="Male, approximately 5' 4' in height, wheatish complexion, black hair, no spectacles,  and was wearing the Company branded t-shirt, jeans, shoes, unshaven, hairstyle done."/>
    <s v="Yes"/>
    <s v="Yes"/>
    <s v="Yes"/>
    <s v="No"/>
    <s v="No"/>
    <s v="No"/>
    <x v="0"/>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n v="65"/>
    <n v="89"/>
    <n v="78"/>
    <n v="40"/>
    <n v="50"/>
    <n v="63"/>
    <n v="67"/>
    <n v="43"/>
    <n v="100"/>
    <s v="Mumbai"/>
    <s v="Maharashtra"/>
    <x v="1"/>
    <s v="IN"/>
    <s v="16:53"/>
    <s v="17:05"/>
    <n v="720"/>
    <n v="3"/>
    <n v="1"/>
    <n v="25"/>
    <s v="Female"/>
    <s v="I was wearing a black and grey checked shirt with blue jeans, spectacles and short hair."/>
    <x v="57"/>
    <s v="Male, approximately 5'3' in height, fair complexion, and was wearing a plain white formal shirt with black trousers, slender build, in his 30s."/>
    <s v="Yes"/>
    <s v="Yes"/>
    <s v="Yes"/>
    <s v="No"/>
    <s v="Yes"/>
    <s v="No"/>
    <x v="0"/>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m/>
    <m/>
    <m/>
    <m/>
    <m/>
    <m/>
    <m/>
    <m/>
    <m/>
    <m/>
    <m/>
    <m/>
    <x v="4"/>
    <m/>
    <m/>
    <m/>
    <m/>
    <m/>
    <m/>
    <m/>
    <m/>
    <m/>
    <x v="58"/>
    <m/>
    <m/>
    <m/>
    <m/>
    <m/>
    <m/>
    <m/>
    <x v="1"/>
    <m/>
    <m/>
    <m/>
    <m/>
    <m/>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s v="2022-10-01"/>
    <n v="58"/>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n v="86"/>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n v="72"/>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n v="84"/>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n v="84"/>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n v="90"/>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n v="36"/>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n v="34"/>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n v="74"/>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n v="74"/>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n v="86"/>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n v="70"/>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n v="84"/>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n v="78"/>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n v="61"/>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n v="78"/>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n v="89"/>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n v="65"/>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n v="76"/>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n v="82"/>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n v="7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n v="78"/>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n v="9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n v="64"/>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n v="69"/>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n v="83"/>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n v="82"/>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n v="84"/>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n v="73"/>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n v="7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n v="100"/>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n v="94"/>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n v="52"/>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n v="62"/>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n v="94"/>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n v="86"/>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n v="94"/>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n v="41"/>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n v="69"/>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n v="61"/>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n v="9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n v="96"/>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n v="34"/>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n v="53"/>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n v="77"/>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n v="65"/>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m/>
    <m/>
    <m/>
    <m/>
    <m/>
    <m/>
    <m/>
    <m/>
    <m/>
    <m/>
    <m/>
    <m/>
    <x v="4"/>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7FA33-EAEE-480D-8BD6-C9F3776DAF1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G72" firstHeaderRow="1" firstDataRow="2" firstDataCol="1"/>
  <pivotFields count="82">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pivotField showAll="0"/>
    <pivotField showAll="0"/>
    <pivotField showAll="0"/>
    <pivotField showAll="0"/>
    <pivotField showAll="0"/>
    <pivotField showAll="0"/>
    <pivotField axis="axisRow" showAll="0">
      <items count="59">
        <item x="38"/>
        <item x="21"/>
        <item x="36"/>
        <item x="50"/>
        <item x="54"/>
        <item x="57"/>
        <item x="17"/>
        <item x="13"/>
        <item x="15"/>
        <item x="22"/>
        <item x="37"/>
        <item x="10"/>
        <item x="46"/>
        <item x="25"/>
        <item x="4"/>
        <item x="0"/>
        <item x="7"/>
        <item x="11"/>
        <item x="28"/>
        <item x="2"/>
        <item x="6"/>
        <item x="55"/>
        <item x="43"/>
        <item x="16"/>
        <item x="19"/>
        <item x="45"/>
        <item x="48"/>
        <item x="26"/>
        <item x="39"/>
        <item x="44"/>
        <item x="27"/>
        <item x="23"/>
        <item x="8"/>
        <item x="9"/>
        <item x="5"/>
        <item x="29"/>
        <item x="32"/>
        <item x="31"/>
        <item x="12"/>
        <item x="20"/>
        <item x="40"/>
        <item x="1"/>
        <item x="30"/>
        <item x="33"/>
        <item x="24"/>
        <item x="53"/>
        <item x="3"/>
        <item x="41"/>
        <item x="18"/>
        <item x="47"/>
        <item x="34"/>
        <item x="35"/>
        <item x="51"/>
        <item x="52"/>
        <item x="49"/>
        <item x="56"/>
        <item x="1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13"/>
  </colFields>
  <colItems count="5">
    <i>
      <x/>
    </i>
    <i>
      <x v="1"/>
    </i>
    <i>
      <x v="2"/>
    </i>
    <i>
      <x v="3"/>
    </i>
    <i t="grand">
      <x/>
    </i>
  </colItems>
  <dataFields count="1">
    <dataField name="Sum of Evaluation_Score" fld="2" baseField="0" baseItem="0"/>
  </dataFields>
  <formats count="11">
    <format dxfId="16">
      <pivotArea type="all" dataOnly="0" outline="0" fieldPosition="0"/>
    </format>
    <format dxfId="15">
      <pivotArea outline="0" collapsedLevelsAreSubtotals="1" fieldPosition="0"/>
    </format>
    <format dxfId="14">
      <pivotArea type="origin" dataOnly="0" labelOnly="1" outline="0" fieldPosition="0"/>
    </format>
    <format dxfId="13">
      <pivotArea field="13" type="button" dataOnly="0" labelOnly="1" outline="0" axis="axisCol" fieldPosition="0"/>
    </format>
    <format dxfId="12">
      <pivotArea type="topRight" dataOnly="0" labelOnly="1" outline="0" fieldPosition="0"/>
    </format>
    <format dxfId="11">
      <pivotArea field="23" type="button" dataOnly="0" labelOnly="1" outline="0" axis="axisRow" fieldPosition="0"/>
    </format>
    <format dxfId="10">
      <pivotArea dataOnly="0" labelOnly="1" fieldPosition="0">
        <references count="1">
          <reference field="2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23" count="8">
            <x v="50"/>
            <x v="51"/>
            <x v="52"/>
            <x v="53"/>
            <x v="54"/>
            <x v="55"/>
            <x v="56"/>
            <x v="57"/>
          </reference>
        </references>
      </pivotArea>
    </format>
    <format dxfId="8">
      <pivotArea dataOnly="0" labelOnly="1" grandRow="1" outline="0" fieldPosition="0"/>
    </format>
    <format dxfId="7">
      <pivotArea dataOnly="0" labelOnly="1" fieldPosition="0">
        <references count="1">
          <reference field="13"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934C4-F04F-4558-AC52-6F68858223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Zone">
  <location ref="B3:C8" firstHeaderRow="1" firstDataRow="1" firstDataCol="1"/>
  <pivotFields count="82">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formats count="10">
    <format dxfId="26">
      <pivotArea collapsedLevelsAreSubtotals="1" fieldPosition="0">
        <references count="1">
          <reference field="13" count="1">
            <x v="0"/>
          </reference>
        </references>
      </pivotArea>
    </format>
    <format dxfId="25">
      <pivotArea collapsedLevelsAreSubtotals="1" fieldPosition="0">
        <references count="1">
          <reference field="13" count="1">
            <x v="1"/>
          </reference>
        </references>
      </pivotArea>
    </format>
    <format dxfId="24">
      <pivotArea collapsedLevelsAreSubtotals="1" fieldPosition="0">
        <references count="1">
          <reference field="13" count="2">
            <x v="2"/>
            <x v="3"/>
          </reference>
        </references>
      </pivotArea>
    </format>
    <format dxfId="23">
      <pivotArea grandRow="1" outline="0" collapsedLevelsAreSubtotals="1" fieldPosition="0"/>
    </format>
    <format dxfId="22">
      <pivotArea type="all" dataOnly="0" outline="0" fieldPosition="0"/>
    </format>
    <format dxfId="21">
      <pivotArea outline="0" collapsedLevelsAreSubtotals="1" fieldPosition="0"/>
    </format>
    <format dxfId="20">
      <pivotArea field="13" type="button" dataOnly="0" labelOnly="1" outline="0" axis="axisRow" fieldPosition="0"/>
    </format>
    <format dxfId="19">
      <pivotArea dataOnly="0" labelOnly="1" fieldPosition="0">
        <references count="1">
          <reference field="13" count="0"/>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EBE95-EA06-42ED-9D0D-B9A9D561957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C9" firstHeaderRow="1" firstDataRow="1" firstDataCol="1"/>
  <pivotFields count="82">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numFmtId="1"/>
  </dataFields>
  <formats count="6">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0"/>
        </references>
      </pivotArea>
    </format>
    <format dxfId="1">
      <pivotArea dataOnly="0" labelOnly="1" grandRow="1" outline="0" fieldPosition="0"/>
    </format>
    <format dxfId="0">
      <pivotArea dataOnly="0" labelOnly="1" outline="0" axis="axisValues"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A5244AD1-5876-447A-AF6A-656048EA1888}" sourceName="Zone">
  <data>
    <tabular pivotCacheId="510679717">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FA3A1C42-94F5-4DD4-95A8-C35726048E60}" cache="Slicer_Zone" caption="Zo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4.5" x14ac:dyDescent="0.35"/>
  <cols>
    <col min="1" max="1" width="21.54296875" bestFit="1" customWidth="1"/>
    <col min="2" max="2" width="18.1796875" bestFit="1" customWidth="1"/>
    <col min="3" max="3" width="17.453125" bestFit="1" customWidth="1"/>
    <col min="4" max="4" width="14.7265625" bestFit="1" customWidth="1"/>
    <col min="5" max="5" width="14.26953125" bestFit="1" customWidth="1"/>
    <col min="6" max="6" width="11.26953125" bestFit="1" customWidth="1"/>
  </cols>
  <sheetData>
    <row r="3" spans="1:6" x14ac:dyDescent="0.35">
      <c r="A3" s="5" t="s">
        <v>784</v>
      </c>
      <c r="B3" s="5" t="s">
        <v>783</v>
      </c>
    </row>
    <row r="4" spans="1:6" x14ac:dyDescent="0.35">
      <c r="A4" s="5" t="s">
        <v>780</v>
      </c>
      <c r="B4" t="s">
        <v>777</v>
      </c>
      <c r="C4" t="s">
        <v>779</v>
      </c>
      <c r="D4" t="s">
        <v>776</v>
      </c>
      <c r="E4" t="s">
        <v>778</v>
      </c>
      <c r="F4" t="s">
        <v>781</v>
      </c>
    </row>
    <row r="5" spans="1:6" x14ac:dyDescent="0.35">
      <c r="A5" s="6" t="s">
        <v>433</v>
      </c>
      <c r="B5" s="7">
        <v>0.14285714285714285</v>
      </c>
      <c r="C5" s="7">
        <v>0.14285714285714285</v>
      </c>
      <c r="D5" s="7">
        <v>0.2857142857142857</v>
      </c>
      <c r="E5" s="7">
        <v>0.42857142857142855</v>
      </c>
      <c r="F5" s="7">
        <v>1</v>
      </c>
    </row>
    <row r="6" spans="1:6" x14ac:dyDescent="0.35">
      <c r="A6" s="6" t="s">
        <v>85</v>
      </c>
      <c r="B6" s="7">
        <v>0.47368421052631576</v>
      </c>
      <c r="C6" s="7">
        <v>5.2631578947368418E-2</v>
      </c>
      <c r="D6" s="7">
        <v>0.21052631578947367</v>
      </c>
      <c r="E6" s="7">
        <v>0.26315789473684209</v>
      </c>
      <c r="F6" s="7">
        <v>1</v>
      </c>
    </row>
    <row r="7" spans="1:6" x14ac:dyDescent="0.35">
      <c r="A7" s="6" t="s">
        <v>169</v>
      </c>
      <c r="B7" s="7">
        <v>0.3888888888888889</v>
      </c>
      <c r="C7" s="7">
        <v>0.16666666666666666</v>
      </c>
      <c r="D7" s="7">
        <v>0.1111111111111111</v>
      </c>
      <c r="E7" s="7">
        <v>0.33333333333333331</v>
      </c>
      <c r="F7" s="7">
        <v>1</v>
      </c>
    </row>
    <row r="8" spans="1:6" x14ac:dyDescent="0.35">
      <c r="A8" s="6" t="s">
        <v>109</v>
      </c>
      <c r="B8" s="7">
        <v>0.58823529411764708</v>
      </c>
      <c r="C8" s="7">
        <v>0.17647058823529413</v>
      </c>
      <c r="D8" s="7">
        <v>0.11764705882352941</v>
      </c>
      <c r="E8" s="7">
        <v>0.11764705882352941</v>
      </c>
      <c r="F8" s="7">
        <v>1</v>
      </c>
    </row>
    <row r="9" spans="1:6" x14ac:dyDescent="0.35">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C15" sqref="C15"/>
    </sheetView>
  </sheetViews>
  <sheetFormatPr defaultRowHeight="14.5" x14ac:dyDescent="0.35"/>
  <cols>
    <col min="1" max="1" width="13.1796875" bestFit="1" customWidth="1"/>
    <col min="2" max="2" width="26.7265625" bestFit="1" customWidth="1"/>
  </cols>
  <sheetData>
    <row r="1" spans="1:2" x14ac:dyDescent="0.35">
      <c r="A1" s="5" t="s">
        <v>780</v>
      </c>
      <c r="B1" t="s">
        <v>782</v>
      </c>
    </row>
    <row r="2" spans="1:2" x14ac:dyDescent="0.35">
      <c r="A2" s="6" t="s">
        <v>433</v>
      </c>
      <c r="B2">
        <v>71.571428571428569</v>
      </c>
    </row>
    <row r="3" spans="1:2" x14ac:dyDescent="0.35">
      <c r="A3" s="6" t="s">
        <v>85</v>
      </c>
      <c r="B3">
        <v>76.736842105263165</v>
      </c>
    </row>
    <row r="4" spans="1:2" x14ac:dyDescent="0.35">
      <c r="A4" s="6" t="s">
        <v>169</v>
      </c>
      <c r="B4">
        <v>66.611111111111114</v>
      </c>
    </row>
    <row r="5" spans="1:2" x14ac:dyDescent="0.35">
      <c r="A5" s="6" t="s">
        <v>109</v>
      </c>
      <c r="B5">
        <v>71.82352941176471</v>
      </c>
    </row>
    <row r="6" spans="1:2" x14ac:dyDescent="0.35">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zoomScale="85" zoomScaleNormal="85" workbookViewId="0">
      <selection activeCell="C2" sqref="C2"/>
    </sheetView>
  </sheetViews>
  <sheetFormatPr defaultRowHeight="14.5" x14ac:dyDescent="0.35"/>
  <cols>
    <col min="1" max="1" width="14" bestFit="1" customWidth="1"/>
    <col min="2" max="2" width="16.453125" bestFit="1" customWidth="1"/>
    <col min="3" max="3" width="17" bestFit="1" customWidth="1"/>
    <col min="4" max="4" width="18.1796875" bestFit="1" customWidth="1"/>
    <col min="5" max="5" width="19.453125" bestFit="1" customWidth="1"/>
    <col min="6" max="6" width="11.7265625" bestFit="1" customWidth="1"/>
    <col min="7" max="7" width="21.453125" bestFit="1" customWidth="1"/>
    <col min="8" max="8" width="28.26953125" bestFit="1" customWidth="1"/>
    <col min="9" max="9" width="22.7265625" bestFit="1" customWidth="1"/>
    <col min="10" max="10" width="17.7265625" bestFit="1" customWidth="1"/>
    <col min="11" max="11" width="22" bestFit="1" customWidth="1"/>
    <col min="12" max="12" width="14.26953125" bestFit="1" customWidth="1"/>
    <col min="13" max="13" width="16.453125" bestFit="1" customWidth="1"/>
    <col min="15" max="15" width="17.453125" bestFit="1" customWidth="1"/>
    <col min="16" max="16" width="14" bestFit="1" customWidth="1"/>
    <col min="17" max="17" width="12.54296875" bestFit="1" customWidth="1"/>
    <col min="18" max="18" width="16.54296875" bestFit="1" customWidth="1"/>
    <col min="19" max="19" width="66.26953125" bestFit="1" customWidth="1"/>
    <col min="20" max="20" width="63" bestFit="1" customWidth="1"/>
    <col min="21" max="21" width="18.7265625" bestFit="1" customWidth="1"/>
    <col min="22" max="22" width="18.26953125" bestFit="1" customWidth="1"/>
    <col min="23" max="23" width="183.1796875" bestFit="1" customWidth="1"/>
    <col min="24" max="24" width="46.26953125" bestFit="1" customWidth="1"/>
    <col min="25" max="25" width="228" bestFit="1" customWidth="1"/>
    <col min="26" max="26" width="48.26953125" bestFit="1" customWidth="1"/>
    <col min="27" max="27" width="63.453125" bestFit="1" customWidth="1"/>
    <col min="28" max="28" width="87.1796875" bestFit="1" customWidth="1"/>
    <col min="29" max="29" width="46.54296875" bestFit="1" customWidth="1"/>
    <col min="30" max="30" width="67.81640625" bestFit="1" customWidth="1"/>
    <col min="31" max="31" width="47.26953125" bestFit="1" customWidth="1"/>
    <col min="32" max="32" width="105.453125" bestFit="1" customWidth="1"/>
    <col min="33" max="33" width="73.81640625" bestFit="1" customWidth="1"/>
    <col min="34" max="34" width="83.54296875" bestFit="1" customWidth="1"/>
    <col min="35" max="35" width="255.7265625" bestFit="1" customWidth="1"/>
    <col min="36" max="36" width="90.1796875" bestFit="1" customWidth="1"/>
    <col min="37" max="37" width="52.81640625" bestFit="1" customWidth="1"/>
    <col min="38" max="38" width="59.7265625" bestFit="1" customWidth="1"/>
    <col min="39" max="39" width="155.7265625" bestFit="1" customWidth="1"/>
    <col min="40" max="40" width="65.453125" bestFit="1" customWidth="1"/>
    <col min="41" max="41" width="49.26953125" bestFit="1" customWidth="1"/>
    <col min="42" max="42" width="105.7265625" bestFit="1" customWidth="1"/>
    <col min="43" max="43" width="184.26953125" bestFit="1" customWidth="1"/>
    <col min="44" max="44" width="100.26953125" bestFit="1" customWidth="1"/>
    <col min="45" max="45" width="217.7265625" bestFit="1" customWidth="1"/>
    <col min="46" max="46" width="92.1796875" bestFit="1" customWidth="1"/>
    <col min="47" max="47" width="255.7265625" bestFit="1" customWidth="1"/>
    <col min="48" max="48" width="78.7265625" bestFit="1" customWidth="1"/>
    <col min="49" max="49" width="255.7265625" bestFit="1" customWidth="1"/>
    <col min="50" max="50" width="131.26953125" bestFit="1" customWidth="1"/>
    <col min="51" max="51" width="255.7265625" bestFit="1" customWidth="1"/>
    <col min="52" max="52" width="74.453125" bestFit="1" customWidth="1"/>
    <col min="53" max="53" width="90.26953125" bestFit="1" customWidth="1"/>
    <col min="54" max="54" width="234.26953125" bestFit="1" customWidth="1"/>
    <col min="55" max="55" width="51" bestFit="1" customWidth="1"/>
    <col min="56" max="56" width="60.453125" bestFit="1" customWidth="1"/>
    <col min="57" max="57" width="61.54296875" bestFit="1" customWidth="1"/>
    <col min="58" max="58" width="105.81640625" bestFit="1" customWidth="1"/>
    <col min="59" max="59" width="62" bestFit="1" customWidth="1"/>
    <col min="60" max="60" width="98.54296875" bestFit="1" customWidth="1"/>
    <col min="61" max="61" width="120.1796875" bestFit="1" customWidth="1"/>
    <col min="62" max="62" width="133" bestFit="1" customWidth="1"/>
    <col min="63" max="64" width="255.7265625" bestFit="1" customWidth="1"/>
    <col min="65" max="65" width="84.453125" bestFit="1" customWidth="1"/>
    <col min="66" max="66" width="31.54296875" bestFit="1" customWidth="1"/>
    <col min="67" max="67" width="121.7265625" bestFit="1" customWidth="1"/>
    <col min="68" max="68" width="105" bestFit="1" customWidth="1"/>
    <col min="69" max="69" width="74.26953125" bestFit="1" customWidth="1"/>
    <col min="70" max="70" width="255.7265625" bestFit="1" customWidth="1"/>
    <col min="71" max="71" width="63" bestFit="1" customWidth="1"/>
    <col min="72" max="72" width="79" bestFit="1" customWidth="1"/>
    <col min="73" max="73" width="78" bestFit="1" customWidth="1"/>
    <col min="74" max="74" width="67.453125" bestFit="1" customWidth="1"/>
    <col min="75" max="75" width="73.54296875" bestFit="1" customWidth="1"/>
    <col min="76" max="76" width="121.26953125" bestFit="1" customWidth="1"/>
    <col min="77" max="77" width="122.26953125" bestFit="1" customWidth="1"/>
    <col min="78" max="78" width="56.26953125" bestFit="1" customWidth="1"/>
    <col min="79" max="79" width="109.1796875" bestFit="1" customWidth="1"/>
    <col min="80" max="80" width="84" bestFit="1" customWidth="1"/>
    <col min="81" max="81" width="101.54296875" bestFit="1" customWidth="1"/>
    <col min="82" max="82" width="88" bestFit="1" customWidth="1"/>
  </cols>
  <sheetData>
    <row r="1" spans="1:83" s="3" customFormat="1" ht="15.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row>
    <row r="2" spans="1:83" x14ac:dyDescent="0.35">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row>
    <row r="3" spans="1:83" x14ac:dyDescent="0.35">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row>
    <row r="4" spans="1:83" x14ac:dyDescent="0.35">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row>
    <row r="5" spans="1:83" x14ac:dyDescent="0.35">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row>
    <row r="6" spans="1:83" x14ac:dyDescent="0.35">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row>
    <row r="7" spans="1:83" x14ac:dyDescent="0.35">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row>
    <row r="8" spans="1:83" x14ac:dyDescent="0.35">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row>
    <row r="9" spans="1:83" x14ac:dyDescent="0.35">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row>
    <row r="10" spans="1:83" x14ac:dyDescent="0.35">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row>
    <row r="11" spans="1:83" x14ac:dyDescent="0.35">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row>
    <row r="12" spans="1:83" x14ac:dyDescent="0.35">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row>
    <row r="13" spans="1:83" x14ac:dyDescent="0.35">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row>
    <row r="14" spans="1:83" x14ac:dyDescent="0.35">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row>
    <row r="15" spans="1:83" x14ac:dyDescent="0.35">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row>
    <row r="16" spans="1:83" x14ac:dyDescent="0.35">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row>
    <row r="17" spans="1:82" x14ac:dyDescent="0.35">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row>
    <row r="18" spans="1:82" x14ac:dyDescent="0.35">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row>
    <row r="19" spans="1:82" x14ac:dyDescent="0.35">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row>
    <row r="20" spans="1:82" x14ac:dyDescent="0.35">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row>
    <row r="21" spans="1:82" x14ac:dyDescent="0.35">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row>
    <row r="22" spans="1:82" x14ac:dyDescent="0.35">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row>
    <row r="23" spans="1:82" x14ac:dyDescent="0.35">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row>
    <row r="24" spans="1:82" x14ac:dyDescent="0.35">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row>
    <row r="25" spans="1:82" x14ac:dyDescent="0.35">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row>
    <row r="26" spans="1:82" x14ac:dyDescent="0.35">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row>
    <row r="27" spans="1:82" x14ac:dyDescent="0.35">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row>
    <row r="28" spans="1:82" x14ac:dyDescent="0.35">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row>
    <row r="29" spans="1:82" x14ac:dyDescent="0.35">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row>
    <row r="30" spans="1:82" x14ac:dyDescent="0.35">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row>
    <row r="31" spans="1:82" x14ac:dyDescent="0.35">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row>
    <row r="32" spans="1:82" x14ac:dyDescent="0.35">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row>
    <row r="33" spans="1:82" x14ac:dyDescent="0.35">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row>
    <row r="34" spans="1:82" x14ac:dyDescent="0.35">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row>
    <row r="35" spans="1:82" x14ac:dyDescent="0.35">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row>
    <row r="36" spans="1:82" x14ac:dyDescent="0.35">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row>
    <row r="37" spans="1:82" x14ac:dyDescent="0.35">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row>
    <row r="38" spans="1:82" x14ac:dyDescent="0.35">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row>
    <row r="39" spans="1:82" x14ac:dyDescent="0.35">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row>
    <row r="40" spans="1:82" x14ac:dyDescent="0.35">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row>
    <row r="41" spans="1:82" x14ac:dyDescent="0.35">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row>
    <row r="42" spans="1:82" x14ac:dyDescent="0.35">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row>
    <row r="43" spans="1:82" x14ac:dyDescent="0.35">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row>
    <row r="44" spans="1:82" x14ac:dyDescent="0.35">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row>
    <row r="45" spans="1:82" x14ac:dyDescent="0.35">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row>
    <row r="46" spans="1:82" x14ac:dyDescent="0.35">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row>
    <row r="47" spans="1:82" x14ac:dyDescent="0.35">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row>
    <row r="48" spans="1:82" x14ac:dyDescent="0.35">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row>
    <row r="49" spans="1:82" x14ac:dyDescent="0.35">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row>
    <row r="50" spans="1:82" x14ac:dyDescent="0.35">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row>
    <row r="51" spans="1:82" x14ac:dyDescent="0.35">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row>
    <row r="52" spans="1:82" x14ac:dyDescent="0.35">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row>
    <row r="53" spans="1:82" x14ac:dyDescent="0.35">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row>
    <row r="54" spans="1:82" x14ac:dyDescent="0.35">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row>
    <row r="55" spans="1:82" x14ac:dyDescent="0.35">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row>
    <row r="56" spans="1:82" x14ac:dyDescent="0.35">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row>
    <row r="57" spans="1:82" x14ac:dyDescent="0.35">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row>
    <row r="58" spans="1:82" x14ac:dyDescent="0.35">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row>
    <row r="59" spans="1:82" x14ac:dyDescent="0.35">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row>
    <row r="60" spans="1:82" x14ac:dyDescent="0.35">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row>
    <row r="61" spans="1:82" x14ac:dyDescent="0.35">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row>
    <row r="62" spans="1:82" x14ac:dyDescent="0.35">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733C-5E7A-4613-9262-59853F3B490D}">
  <dimension ref="A1:G62"/>
  <sheetViews>
    <sheetView showGridLines="0" zoomScale="85" zoomScaleNormal="85" workbookViewId="0">
      <selection activeCell="A2" sqref="A2:A62"/>
    </sheetView>
  </sheetViews>
  <sheetFormatPr defaultRowHeight="14.5" x14ac:dyDescent="0.35"/>
  <cols>
    <col min="1" max="1" width="21.81640625" customWidth="1"/>
    <col min="2" max="2" width="36.81640625" customWidth="1"/>
    <col min="5" max="5" width="17.81640625" bestFit="1" customWidth="1"/>
    <col min="6" max="6" width="12.1796875" customWidth="1"/>
    <col min="7" max="7" width="10.81640625" customWidth="1"/>
  </cols>
  <sheetData>
    <row r="1" spans="1:7" ht="15.5" x14ac:dyDescent="0.35">
      <c r="A1" s="31" t="s">
        <v>786</v>
      </c>
      <c r="B1" s="20" t="s">
        <v>788</v>
      </c>
    </row>
    <row r="2" spans="1:7" ht="19" x14ac:dyDescent="0.4">
      <c r="A2" s="11" t="str">
        <f>IF(AND('CX_Junior BI Analyst_Test'!C2&gt;=90,'CX_Junior BI Analyst_Test'!C2&lt;=100),"High Performer",IF(AND('CX_Junior BI Analyst_Test'!C2&gt;=70,'CX_Junior BI Analyst_Test'!C2&lt;=89),"Average Performer",IF(AND('CX_Junior BI Analyst_Test'!C2&gt;=50,'CX_Junior BI Analyst_Test'!C2&lt;=69),"Low Performer","Bottom Performer")))</f>
        <v>Low Performer</v>
      </c>
      <c r="B2" s="14">
        <f>'CX_Junior BI Analyst_Test'!C2</f>
        <v>58</v>
      </c>
      <c r="E2" s="36" t="s">
        <v>785</v>
      </c>
      <c r="F2" s="36"/>
      <c r="G2" s="36"/>
    </row>
    <row r="3" spans="1:7" x14ac:dyDescent="0.35">
      <c r="A3" s="10" t="str">
        <f>IF(AND('CX_Junior BI Analyst_Test'!C3&gt;=90,'CX_Junior BI Analyst_Test'!C3&lt;=100),"High Performer",IF(AND('CX_Junior BI Analyst_Test'!C3&gt;=70,'CX_Junior BI Analyst_Test'!C3&lt;=89),"Average Performer",IF(AND('CX_Junior BI Analyst_Test'!C3&gt;=50,'CX_Junior BI Analyst_Test'!C3&lt;=69),"Low Performer","Bottom Performer")))</f>
        <v>Average Performer</v>
      </c>
      <c r="B3" s="14">
        <f>'CX_Junior BI Analyst_Test'!C3</f>
        <v>86</v>
      </c>
      <c r="E3" s="9" t="s">
        <v>776</v>
      </c>
      <c r="F3" s="8">
        <v>90</v>
      </c>
      <c r="G3" s="8">
        <v>100</v>
      </c>
    </row>
    <row r="4" spans="1:7" x14ac:dyDescent="0.35">
      <c r="A4" s="10" t="str">
        <f>IF(AND('CX_Junior BI Analyst_Test'!C4&gt;=90,'CX_Junior BI Analyst_Test'!C4&lt;=100),"High Performer",IF(AND('CX_Junior BI Analyst_Test'!C4&gt;=70,'CX_Junior BI Analyst_Test'!C4&lt;=89),"Average Performer",IF(AND('CX_Junior BI Analyst_Test'!C4&gt;=50,'CX_Junior BI Analyst_Test'!C4&lt;=69),"Low Performer","Bottom Performer")))</f>
        <v>Average Performer</v>
      </c>
      <c r="B4" s="14">
        <f>'CX_Junior BI Analyst_Test'!C4</f>
        <v>72</v>
      </c>
      <c r="E4" s="10" t="s">
        <v>777</v>
      </c>
      <c r="F4" s="8">
        <v>70</v>
      </c>
      <c r="G4" s="8">
        <v>89</v>
      </c>
    </row>
    <row r="5" spans="1:7" x14ac:dyDescent="0.35">
      <c r="A5" s="10" t="str">
        <f>IF(AND('CX_Junior BI Analyst_Test'!C5&gt;=90,'CX_Junior BI Analyst_Test'!C5&lt;=100),"High Performer",IF(AND('CX_Junior BI Analyst_Test'!C5&gt;=70,'CX_Junior BI Analyst_Test'!C5&lt;=89),"Average Performer",IF(AND('CX_Junior BI Analyst_Test'!C5&gt;=50,'CX_Junior BI Analyst_Test'!C5&lt;=69),"Low Performer","Bottom Performer")))</f>
        <v>Average Performer</v>
      </c>
      <c r="B5" s="14">
        <f>'CX_Junior BI Analyst_Test'!C5</f>
        <v>84</v>
      </c>
      <c r="E5" s="11" t="s">
        <v>778</v>
      </c>
      <c r="F5" s="8">
        <v>50</v>
      </c>
      <c r="G5" s="8">
        <v>69</v>
      </c>
    </row>
    <row r="6" spans="1:7" x14ac:dyDescent="0.35">
      <c r="A6" s="10" t="str">
        <f>IF(AND('CX_Junior BI Analyst_Test'!C6&gt;=90,'CX_Junior BI Analyst_Test'!C6&lt;=100),"High Performer",IF(AND('CX_Junior BI Analyst_Test'!C6&gt;=70,'CX_Junior BI Analyst_Test'!C6&lt;=89),"Average Performer",IF(AND('CX_Junior BI Analyst_Test'!C6&gt;=50,'CX_Junior BI Analyst_Test'!C6&lt;=69),"Low Performer","Bottom Performer")))</f>
        <v>Average Performer</v>
      </c>
      <c r="B6" s="14">
        <f>'CX_Junior BI Analyst_Test'!C6</f>
        <v>84</v>
      </c>
      <c r="E6" s="12" t="s">
        <v>779</v>
      </c>
      <c r="F6" s="8"/>
      <c r="G6" s="8">
        <v>50</v>
      </c>
    </row>
    <row r="7" spans="1:7" x14ac:dyDescent="0.35">
      <c r="A7" s="9" t="str">
        <f>IF(AND('CX_Junior BI Analyst_Test'!C7&gt;=90,'CX_Junior BI Analyst_Test'!C7&lt;=100),"High Performer",IF(AND('CX_Junior BI Analyst_Test'!C7&gt;=70,'CX_Junior BI Analyst_Test'!C7&lt;=89),"Average Performer",IF(AND('CX_Junior BI Analyst_Test'!C7&gt;=50,'CX_Junior BI Analyst_Test'!C7&lt;=69),"Low Performer","Bottom Performer")))</f>
        <v>High Performer</v>
      </c>
      <c r="B7" s="14">
        <f>'CX_Junior BI Analyst_Test'!C7</f>
        <v>90</v>
      </c>
    </row>
    <row r="8" spans="1:7" x14ac:dyDescent="0.35">
      <c r="A8" s="12" t="str">
        <f>IF(AND('CX_Junior BI Analyst_Test'!C8&gt;=90,'CX_Junior BI Analyst_Test'!C8&lt;=100),"High Performer",IF(AND('CX_Junior BI Analyst_Test'!C8&gt;=70,'CX_Junior BI Analyst_Test'!C8&lt;=89),"Average Performer",IF(AND('CX_Junior BI Analyst_Test'!C8&gt;=50,'CX_Junior BI Analyst_Test'!C8&lt;=69),"Low Performer","Bottom Performer")))</f>
        <v>Bottom Performer</v>
      </c>
      <c r="B8" s="14">
        <f>'CX_Junior BI Analyst_Test'!C8</f>
        <v>36</v>
      </c>
    </row>
    <row r="9" spans="1:7" x14ac:dyDescent="0.35">
      <c r="A9" s="12" t="str">
        <f>IF(AND('CX_Junior BI Analyst_Test'!C9&gt;=90,'CX_Junior BI Analyst_Test'!C9&lt;=100),"High Performer",IF(AND('CX_Junior BI Analyst_Test'!C9&gt;=70,'CX_Junior BI Analyst_Test'!C9&lt;=89),"Average Performer",IF(AND('CX_Junior BI Analyst_Test'!C9&gt;=50,'CX_Junior BI Analyst_Test'!C9&lt;=69),"Low Performer","Bottom Performer")))</f>
        <v>Bottom Performer</v>
      </c>
      <c r="B9" s="14">
        <f>'CX_Junior BI Analyst_Test'!C9</f>
        <v>34</v>
      </c>
    </row>
    <row r="10" spans="1:7" x14ac:dyDescent="0.35">
      <c r="A10" s="10" t="str">
        <f>IF(AND('CX_Junior BI Analyst_Test'!C10&gt;=90,'CX_Junior BI Analyst_Test'!C10&lt;=100),"High Performer",IF(AND('CX_Junior BI Analyst_Test'!C10&gt;=70,'CX_Junior BI Analyst_Test'!C10&lt;=89),"Average Performer",IF(AND('CX_Junior BI Analyst_Test'!C10&gt;=50,'CX_Junior BI Analyst_Test'!C10&lt;=69),"Low Performer","Bottom Performer")))</f>
        <v>Average Performer</v>
      </c>
      <c r="B10" s="14">
        <f>'CX_Junior BI Analyst_Test'!C10</f>
        <v>74</v>
      </c>
    </row>
    <row r="11" spans="1:7" x14ac:dyDescent="0.35">
      <c r="A11" s="10" t="str">
        <f>IF(AND('CX_Junior BI Analyst_Test'!C11&gt;=90,'CX_Junior BI Analyst_Test'!C11&lt;=100),"High Performer",IF(AND('CX_Junior BI Analyst_Test'!C11&gt;=70,'CX_Junior BI Analyst_Test'!C11&lt;=89),"Average Performer",IF(AND('CX_Junior BI Analyst_Test'!C11&gt;=50,'CX_Junior BI Analyst_Test'!C11&lt;=69),"Low Performer","Bottom Performer")))</f>
        <v>Average Performer</v>
      </c>
      <c r="B11" s="14">
        <f>'CX_Junior BI Analyst_Test'!C11</f>
        <v>74</v>
      </c>
    </row>
    <row r="12" spans="1:7" x14ac:dyDescent="0.35">
      <c r="A12" s="10" t="str">
        <f>IF(AND('CX_Junior BI Analyst_Test'!C12&gt;=90,'CX_Junior BI Analyst_Test'!C12&lt;=100),"High Performer",IF(AND('CX_Junior BI Analyst_Test'!C12&gt;=70,'CX_Junior BI Analyst_Test'!C12&lt;=89),"Average Performer",IF(AND('CX_Junior BI Analyst_Test'!C12&gt;=50,'CX_Junior BI Analyst_Test'!C12&lt;=69),"Low Performer","Bottom Performer")))</f>
        <v>Average Performer</v>
      </c>
      <c r="B12" s="14">
        <f>'CX_Junior BI Analyst_Test'!C12</f>
        <v>86</v>
      </c>
    </row>
    <row r="13" spans="1:7" x14ac:dyDescent="0.35">
      <c r="A13" s="10" t="str">
        <f>IF(AND('CX_Junior BI Analyst_Test'!C13&gt;=90,'CX_Junior BI Analyst_Test'!C13&lt;=100),"High Performer",IF(AND('CX_Junior BI Analyst_Test'!C13&gt;=70,'CX_Junior BI Analyst_Test'!C13&lt;=89),"Average Performer",IF(AND('CX_Junior BI Analyst_Test'!C13&gt;=50,'CX_Junior BI Analyst_Test'!C13&lt;=69),"Low Performer","Bottom Performer")))</f>
        <v>Average Performer</v>
      </c>
      <c r="B13" s="14">
        <f>'CX_Junior BI Analyst_Test'!C13</f>
        <v>70</v>
      </c>
    </row>
    <row r="14" spans="1:7" x14ac:dyDescent="0.35">
      <c r="A14" s="10" t="str">
        <f>IF(AND('CX_Junior BI Analyst_Test'!C14&gt;=90,'CX_Junior BI Analyst_Test'!C14&lt;=100),"High Performer",IF(AND('CX_Junior BI Analyst_Test'!C14&gt;=70,'CX_Junior BI Analyst_Test'!C14&lt;=89),"Average Performer",IF(AND('CX_Junior BI Analyst_Test'!C14&gt;=50,'CX_Junior BI Analyst_Test'!C14&lt;=69),"Low Performer","Bottom Performer")))</f>
        <v>Average Performer</v>
      </c>
      <c r="B14" s="14">
        <f>'CX_Junior BI Analyst_Test'!C14</f>
        <v>84</v>
      </c>
    </row>
    <row r="15" spans="1:7" x14ac:dyDescent="0.35">
      <c r="A15" s="10" t="str">
        <f>IF(AND('CX_Junior BI Analyst_Test'!C15&gt;=90,'CX_Junior BI Analyst_Test'!C15&lt;=100),"High Performer",IF(AND('CX_Junior BI Analyst_Test'!C15&gt;=70,'CX_Junior BI Analyst_Test'!C15&lt;=89),"Average Performer",IF(AND('CX_Junior BI Analyst_Test'!C15&gt;=50,'CX_Junior BI Analyst_Test'!C15&lt;=69),"Low Performer","Bottom Performer")))</f>
        <v>Average Performer</v>
      </c>
      <c r="B15" s="14">
        <f>'CX_Junior BI Analyst_Test'!C15</f>
        <v>78</v>
      </c>
    </row>
    <row r="16" spans="1:7" x14ac:dyDescent="0.35">
      <c r="A16" s="11" t="str">
        <f>IF(AND('CX_Junior BI Analyst_Test'!C16&gt;=90,'CX_Junior BI Analyst_Test'!C16&lt;=100),"High Performer",IF(AND('CX_Junior BI Analyst_Test'!C16&gt;=70,'CX_Junior BI Analyst_Test'!C16&lt;=89),"Average Performer",IF(AND('CX_Junior BI Analyst_Test'!C16&gt;=50,'CX_Junior BI Analyst_Test'!C16&lt;=69),"Low Performer","Bottom Performer")))</f>
        <v>Low Performer</v>
      </c>
      <c r="B16" s="14">
        <f>'CX_Junior BI Analyst_Test'!C16</f>
        <v>61</v>
      </c>
    </row>
    <row r="17" spans="1:2" x14ac:dyDescent="0.35">
      <c r="A17" s="10" t="str">
        <f>IF(AND('CX_Junior BI Analyst_Test'!C17&gt;=90,'CX_Junior BI Analyst_Test'!C17&lt;=100),"High Performer",IF(AND('CX_Junior BI Analyst_Test'!C17&gt;=70,'CX_Junior BI Analyst_Test'!C17&lt;=89),"Average Performer",IF(AND('CX_Junior BI Analyst_Test'!C17&gt;=50,'CX_Junior BI Analyst_Test'!C17&lt;=69),"Low Performer","Bottom Performer")))</f>
        <v>Average Performer</v>
      </c>
      <c r="B17" s="14">
        <f>'CX_Junior BI Analyst_Test'!C17</f>
        <v>78</v>
      </c>
    </row>
    <row r="18" spans="1:2" x14ac:dyDescent="0.35">
      <c r="A18" s="10" t="str">
        <f>IF(AND('CX_Junior BI Analyst_Test'!C18&gt;=90,'CX_Junior BI Analyst_Test'!C18&lt;=100),"High Performer",IF(AND('CX_Junior BI Analyst_Test'!C18&gt;=70,'CX_Junior BI Analyst_Test'!C18&lt;=89),"Average Performer",IF(AND('CX_Junior BI Analyst_Test'!C18&gt;=50,'CX_Junior BI Analyst_Test'!C18&lt;=69),"Low Performer","Bottom Performer")))</f>
        <v>Average Performer</v>
      </c>
      <c r="B18" s="14">
        <f>'CX_Junior BI Analyst_Test'!C18</f>
        <v>89</v>
      </c>
    </row>
    <row r="19" spans="1:2" x14ac:dyDescent="0.35">
      <c r="A19" s="11" t="str">
        <f>IF(AND('CX_Junior BI Analyst_Test'!C19&gt;=90,'CX_Junior BI Analyst_Test'!C19&lt;=100),"High Performer",IF(AND('CX_Junior BI Analyst_Test'!C19&gt;=70,'CX_Junior BI Analyst_Test'!C19&lt;=89),"Average Performer",IF(AND('CX_Junior BI Analyst_Test'!C19&gt;=50,'CX_Junior BI Analyst_Test'!C19&lt;=69),"Low Performer","Bottom Performer")))</f>
        <v>Low Performer</v>
      </c>
      <c r="B19" s="14">
        <f>'CX_Junior BI Analyst_Test'!C19</f>
        <v>65</v>
      </c>
    </row>
    <row r="20" spans="1:2" x14ac:dyDescent="0.35">
      <c r="A20" s="10" t="str">
        <f>IF(AND('CX_Junior BI Analyst_Test'!C20&gt;=90,'CX_Junior BI Analyst_Test'!C20&lt;=100),"High Performer",IF(AND('CX_Junior BI Analyst_Test'!C20&gt;=70,'CX_Junior BI Analyst_Test'!C20&lt;=89),"Average Performer",IF(AND('CX_Junior BI Analyst_Test'!C20&gt;=50,'CX_Junior BI Analyst_Test'!C20&lt;=69),"Low Performer","Bottom Performer")))</f>
        <v>Average Performer</v>
      </c>
      <c r="B20" s="14">
        <f>'CX_Junior BI Analyst_Test'!C20</f>
        <v>76</v>
      </c>
    </row>
    <row r="21" spans="1:2" x14ac:dyDescent="0.35">
      <c r="A21" s="10" t="str">
        <f>IF(AND('CX_Junior BI Analyst_Test'!C21&gt;=90,'CX_Junior BI Analyst_Test'!C21&lt;=100),"High Performer",IF(AND('CX_Junior BI Analyst_Test'!C21&gt;=70,'CX_Junior BI Analyst_Test'!C21&lt;=89),"Average Performer",IF(AND('CX_Junior BI Analyst_Test'!C21&gt;=50,'CX_Junior BI Analyst_Test'!C21&lt;=69),"Low Performer","Bottom Performer")))</f>
        <v>Average Performer</v>
      </c>
      <c r="B21" s="14">
        <f>'CX_Junior BI Analyst_Test'!C21</f>
        <v>82</v>
      </c>
    </row>
    <row r="22" spans="1:2" x14ac:dyDescent="0.35">
      <c r="A22" s="10" t="str">
        <f>IF(AND('CX_Junior BI Analyst_Test'!C22&gt;=90,'CX_Junior BI Analyst_Test'!C22&lt;=100),"High Performer",IF(AND('CX_Junior BI Analyst_Test'!C22&gt;=70,'CX_Junior BI Analyst_Test'!C22&lt;=89),"Average Performer",IF(AND('CX_Junior BI Analyst_Test'!C22&gt;=50,'CX_Junior BI Analyst_Test'!C22&lt;=69),"Low Performer","Bottom Performer")))</f>
        <v>Average Performer</v>
      </c>
      <c r="B22" s="14">
        <f>'CX_Junior BI Analyst_Test'!C22</f>
        <v>88</v>
      </c>
    </row>
    <row r="23" spans="1:2" x14ac:dyDescent="0.35">
      <c r="A23" s="10" t="str">
        <f>IF(AND('CX_Junior BI Analyst_Test'!C23&gt;=90,'CX_Junior BI Analyst_Test'!C23&lt;=100),"High Performer",IF(AND('CX_Junior BI Analyst_Test'!C23&gt;=70,'CX_Junior BI Analyst_Test'!C23&lt;=89),"Average Performer",IF(AND('CX_Junior BI Analyst_Test'!C23&gt;=50,'CX_Junior BI Analyst_Test'!C23&lt;=69),"Low Performer","Bottom Performer")))</f>
        <v>Average Performer</v>
      </c>
      <c r="B23" s="14">
        <f>'CX_Junior BI Analyst_Test'!C23</f>
        <v>71</v>
      </c>
    </row>
    <row r="24" spans="1:2" x14ac:dyDescent="0.35">
      <c r="A24" s="11" t="str">
        <f>IF(AND('CX_Junior BI Analyst_Test'!C24&gt;=90,'CX_Junior BI Analyst_Test'!C24&lt;=100),"High Performer",IF(AND('CX_Junior BI Analyst_Test'!C24&gt;=70,'CX_Junior BI Analyst_Test'!C24&lt;=89),"Average Performer",IF(AND('CX_Junior BI Analyst_Test'!C24&gt;=50,'CX_Junior BI Analyst_Test'!C24&lt;=69),"Low Performer","Bottom Performer")))</f>
        <v>Low Performer</v>
      </c>
      <c r="B24" s="14">
        <f>'CX_Junior BI Analyst_Test'!C24</f>
        <v>67</v>
      </c>
    </row>
    <row r="25" spans="1:2" x14ac:dyDescent="0.35">
      <c r="A25" s="11" t="str">
        <f>IF(AND('CX_Junior BI Analyst_Test'!C25&gt;=90,'CX_Junior BI Analyst_Test'!C25&lt;=100),"High Performer",IF(AND('CX_Junior BI Analyst_Test'!C25&gt;=70,'CX_Junior BI Analyst_Test'!C25&lt;=89),"Average Performer",IF(AND('CX_Junior BI Analyst_Test'!C25&gt;=50,'CX_Junior BI Analyst_Test'!C25&lt;=69),"Low Performer","Bottom Performer")))</f>
        <v>Low Performer</v>
      </c>
      <c r="B25" s="14">
        <f>'CX_Junior BI Analyst_Test'!C25</f>
        <v>60</v>
      </c>
    </row>
    <row r="26" spans="1:2" x14ac:dyDescent="0.35">
      <c r="A26" s="10" t="str">
        <f>IF(AND('CX_Junior BI Analyst_Test'!C26&gt;=90,'CX_Junior BI Analyst_Test'!C26&lt;=100),"High Performer",IF(AND('CX_Junior BI Analyst_Test'!C26&gt;=70,'CX_Junior BI Analyst_Test'!C26&lt;=89),"Average Performer",IF(AND('CX_Junior BI Analyst_Test'!C26&gt;=50,'CX_Junior BI Analyst_Test'!C26&lt;=69),"Low Performer","Bottom Performer")))</f>
        <v>Average Performer</v>
      </c>
      <c r="B26" s="14">
        <f>'CX_Junior BI Analyst_Test'!C26</f>
        <v>81</v>
      </c>
    </row>
    <row r="27" spans="1:2" x14ac:dyDescent="0.35">
      <c r="A27" s="10" t="str">
        <f>IF(AND('CX_Junior BI Analyst_Test'!C27&gt;=90,'CX_Junior BI Analyst_Test'!C27&lt;=100),"High Performer",IF(AND('CX_Junior BI Analyst_Test'!C27&gt;=70,'CX_Junior BI Analyst_Test'!C27&lt;=89),"Average Performer",IF(AND('CX_Junior BI Analyst_Test'!C27&gt;=50,'CX_Junior BI Analyst_Test'!C27&lt;=69),"Low Performer","Bottom Performer")))</f>
        <v>Average Performer</v>
      </c>
      <c r="B27" s="14">
        <f>'CX_Junior BI Analyst_Test'!C27</f>
        <v>78</v>
      </c>
    </row>
    <row r="28" spans="1:2" x14ac:dyDescent="0.35">
      <c r="A28" s="9" t="str">
        <f>IF(AND('CX_Junior BI Analyst_Test'!C28&gt;=90,'CX_Junior BI Analyst_Test'!C28&lt;=100),"High Performer",IF(AND('CX_Junior BI Analyst_Test'!C28&gt;=70,'CX_Junior BI Analyst_Test'!C28&lt;=89),"Average Performer",IF(AND('CX_Junior BI Analyst_Test'!C28&gt;=50,'CX_Junior BI Analyst_Test'!C28&lt;=69),"Low Performer","Bottom Performer")))</f>
        <v>High Performer</v>
      </c>
      <c r="B28" s="14">
        <f>'CX_Junior BI Analyst_Test'!C28</f>
        <v>92</v>
      </c>
    </row>
    <row r="29" spans="1:2" x14ac:dyDescent="0.35">
      <c r="A29" s="11" t="str">
        <f>IF(AND('CX_Junior BI Analyst_Test'!C29&gt;=90,'CX_Junior BI Analyst_Test'!C29&lt;=100),"High Performer",IF(AND('CX_Junior BI Analyst_Test'!C29&gt;=70,'CX_Junior BI Analyst_Test'!C29&lt;=89),"Average Performer",IF(AND('CX_Junior BI Analyst_Test'!C29&gt;=50,'CX_Junior BI Analyst_Test'!C29&lt;=69),"Low Performer","Bottom Performer")))</f>
        <v>Low Performer</v>
      </c>
      <c r="B29" s="14">
        <f>'CX_Junior BI Analyst_Test'!C29</f>
        <v>59</v>
      </c>
    </row>
    <row r="30" spans="1:2" x14ac:dyDescent="0.35">
      <c r="A30" s="12" t="str">
        <f>IF(AND('CX_Junior BI Analyst_Test'!C30&gt;=90,'CX_Junior BI Analyst_Test'!C30&lt;=100),"High Performer",IF(AND('CX_Junior BI Analyst_Test'!C30&gt;=70,'CX_Junior BI Analyst_Test'!C30&lt;=89),"Average Performer",IF(AND('CX_Junior BI Analyst_Test'!C30&gt;=50,'CX_Junior BI Analyst_Test'!C30&lt;=69),"Low Performer","Bottom Performer")))</f>
        <v>Bottom Performer</v>
      </c>
      <c r="B30" s="14">
        <f>'CX_Junior BI Analyst_Test'!C30</f>
        <v>33</v>
      </c>
    </row>
    <row r="31" spans="1:2" x14ac:dyDescent="0.35">
      <c r="A31" s="11" t="str">
        <f>IF(AND('CX_Junior BI Analyst_Test'!C31&gt;=90,'CX_Junior BI Analyst_Test'!C31&lt;=100),"High Performer",IF(AND('CX_Junior BI Analyst_Test'!C31&gt;=70,'CX_Junior BI Analyst_Test'!C31&lt;=89),"Average Performer",IF(AND('CX_Junior BI Analyst_Test'!C31&gt;=50,'CX_Junior BI Analyst_Test'!C31&lt;=69),"Low Performer","Bottom Performer")))</f>
        <v>Low Performer</v>
      </c>
      <c r="B31" s="14">
        <f>'CX_Junior BI Analyst_Test'!C31</f>
        <v>64</v>
      </c>
    </row>
    <row r="32" spans="1:2" x14ac:dyDescent="0.35">
      <c r="A32" s="11" t="str">
        <f>IF(AND('CX_Junior BI Analyst_Test'!C32&gt;=90,'CX_Junior BI Analyst_Test'!C32&lt;=100),"High Performer",IF(AND('CX_Junior BI Analyst_Test'!C32&gt;=70,'CX_Junior BI Analyst_Test'!C32&lt;=89),"Average Performer",IF(AND('CX_Junior BI Analyst_Test'!C32&gt;=50,'CX_Junior BI Analyst_Test'!C32&lt;=69),"Low Performer","Bottom Performer")))</f>
        <v>Low Performer</v>
      </c>
      <c r="B32" s="14">
        <f>'CX_Junior BI Analyst_Test'!C32</f>
        <v>69</v>
      </c>
    </row>
    <row r="33" spans="1:2" x14ac:dyDescent="0.35">
      <c r="A33" s="10" t="str">
        <f>IF(AND('CX_Junior BI Analyst_Test'!C33&gt;=90,'CX_Junior BI Analyst_Test'!C33&lt;=100),"High Performer",IF(AND('CX_Junior BI Analyst_Test'!C33&gt;=70,'CX_Junior BI Analyst_Test'!C33&lt;=89),"Average Performer",IF(AND('CX_Junior BI Analyst_Test'!C33&gt;=50,'CX_Junior BI Analyst_Test'!C33&lt;=69),"Low Performer","Bottom Performer")))</f>
        <v>Average Performer</v>
      </c>
      <c r="B33" s="14">
        <f>'CX_Junior BI Analyst_Test'!C33</f>
        <v>83</v>
      </c>
    </row>
    <row r="34" spans="1:2" x14ac:dyDescent="0.35">
      <c r="A34" s="9" t="str">
        <f>IF(AND('CX_Junior BI Analyst_Test'!C34&gt;=90,'CX_Junior BI Analyst_Test'!C34&lt;=100),"High Performer",IF(AND('CX_Junior BI Analyst_Test'!C34&gt;=70,'CX_Junior BI Analyst_Test'!C34&lt;=89),"Average Performer",IF(AND('CX_Junior BI Analyst_Test'!C34&gt;=50,'CX_Junior BI Analyst_Test'!C34&lt;=69),"Low Performer","Bottom Performer")))</f>
        <v>High Performer</v>
      </c>
      <c r="B34" s="14">
        <f>'CX_Junior BI Analyst_Test'!C34</f>
        <v>94</v>
      </c>
    </row>
    <row r="35" spans="1:2" x14ac:dyDescent="0.35">
      <c r="A35" s="10" t="str">
        <f>IF(AND('CX_Junior BI Analyst_Test'!C35&gt;=90,'CX_Junior BI Analyst_Test'!C35&lt;=100),"High Performer",IF(AND('CX_Junior BI Analyst_Test'!C35&gt;=70,'CX_Junior BI Analyst_Test'!C35&lt;=89),"Average Performer",IF(AND('CX_Junior BI Analyst_Test'!C35&gt;=50,'CX_Junior BI Analyst_Test'!C35&lt;=69),"Low Performer","Bottom Performer")))</f>
        <v>Average Performer</v>
      </c>
      <c r="B35" s="14">
        <f>'CX_Junior BI Analyst_Test'!C35</f>
        <v>80</v>
      </c>
    </row>
    <row r="36" spans="1:2" x14ac:dyDescent="0.35">
      <c r="A36" s="10" t="str">
        <f>IF(AND('CX_Junior BI Analyst_Test'!C36&gt;=90,'CX_Junior BI Analyst_Test'!C36&lt;=100),"High Performer",IF(AND('CX_Junior BI Analyst_Test'!C36&gt;=70,'CX_Junior BI Analyst_Test'!C36&lt;=89),"Average Performer",IF(AND('CX_Junior BI Analyst_Test'!C36&gt;=50,'CX_Junior BI Analyst_Test'!C36&lt;=69),"Low Performer","Bottom Performer")))</f>
        <v>Average Performer</v>
      </c>
      <c r="B36" s="14">
        <f>'CX_Junior BI Analyst_Test'!C36</f>
        <v>82</v>
      </c>
    </row>
    <row r="37" spans="1:2" x14ac:dyDescent="0.35">
      <c r="A37" s="10" t="str">
        <f>IF(AND('CX_Junior BI Analyst_Test'!C37&gt;=90,'CX_Junior BI Analyst_Test'!C37&lt;=100),"High Performer",IF(AND('CX_Junior BI Analyst_Test'!C37&gt;=70,'CX_Junior BI Analyst_Test'!C37&lt;=89),"Average Performer",IF(AND('CX_Junior BI Analyst_Test'!C37&gt;=50,'CX_Junior BI Analyst_Test'!C37&lt;=69),"Low Performer","Bottom Performer")))</f>
        <v>Average Performer</v>
      </c>
      <c r="B37" s="14">
        <f>'CX_Junior BI Analyst_Test'!C37</f>
        <v>84</v>
      </c>
    </row>
    <row r="38" spans="1:2" x14ac:dyDescent="0.35">
      <c r="A38" s="10" t="str">
        <f>IF(AND('CX_Junior BI Analyst_Test'!C38&gt;=90,'CX_Junior BI Analyst_Test'!C38&lt;=100),"High Performer",IF(AND('CX_Junior BI Analyst_Test'!C38&gt;=70,'CX_Junior BI Analyst_Test'!C38&lt;=89),"Average Performer",IF(AND('CX_Junior BI Analyst_Test'!C38&gt;=50,'CX_Junior BI Analyst_Test'!C38&lt;=69),"Low Performer","Bottom Performer")))</f>
        <v>Average Performer</v>
      </c>
      <c r="B38" s="14">
        <f>'CX_Junior BI Analyst_Test'!C38</f>
        <v>73</v>
      </c>
    </row>
    <row r="39" spans="1:2" x14ac:dyDescent="0.35">
      <c r="A39" s="12" t="str">
        <f>IF(AND('CX_Junior BI Analyst_Test'!C39&gt;=90,'CX_Junior BI Analyst_Test'!C39&lt;=100),"High Performer",IF(AND('CX_Junior BI Analyst_Test'!C39&gt;=70,'CX_Junior BI Analyst_Test'!C39&lt;=89),"Average Performer",IF(AND('CX_Junior BI Analyst_Test'!C39&gt;=50,'CX_Junior BI Analyst_Test'!C39&lt;=69),"Low Performer","Bottom Performer")))</f>
        <v>Bottom Performer</v>
      </c>
      <c r="B39" s="14">
        <f>'CX_Junior BI Analyst_Test'!C39</f>
        <v>39</v>
      </c>
    </row>
    <row r="40" spans="1:2" x14ac:dyDescent="0.35">
      <c r="A40" s="10" t="str">
        <f>IF(AND('CX_Junior BI Analyst_Test'!C40&gt;=90,'CX_Junior BI Analyst_Test'!C40&lt;=100),"High Performer",IF(AND('CX_Junior BI Analyst_Test'!C40&gt;=70,'CX_Junior BI Analyst_Test'!C40&lt;=89),"Average Performer",IF(AND('CX_Junior BI Analyst_Test'!C40&gt;=50,'CX_Junior BI Analyst_Test'!C40&lt;=69),"Low Performer","Bottom Performer")))</f>
        <v>Average Performer</v>
      </c>
      <c r="B40" s="14">
        <f>'CX_Junior BI Analyst_Test'!C40</f>
        <v>71</v>
      </c>
    </row>
    <row r="41" spans="1:2" x14ac:dyDescent="0.35">
      <c r="A41" s="9" t="str">
        <f>IF(AND('CX_Junior BI Analyst_Test'!C41&gt;=90,'CX_Junior BI Analyst_Test'!C41&lt;=100),"High Performer",IF(AND('CX_Junior BI Analyst_Test'!C41&gt;=70,'CX_Junior BI Analyst_Test'!C41&lt;=89),"Average Performer",IF(AND('CX_Junior BI Analyst_Test'!C41&gt;=50,'CX_Junior BI Analyst_Test'!C41&lt;=69),"Low Performer","Bottom Performer")))</f>
        <v>High Performer</v>
      </c>
      <c r="B41" s="14">
        <f>'CX_Junior BI Analyst_Test'!C41</f>
        <v>100</v>
      </c>
    </row>
    <row r="42" spans="1:2" x14ac:dyDescent="0.35">
      <c r="A42" s="9" t="str">
        <f>IF(AND('CX_Junior BI Analyst_Test'!C42&gt;=90,'CX_Junior BI Analyst_Test'!C42&lt;=100),"High Performer",IF(AND('CX_Junior BI Analyst_Test'!C42&gt;=70,'CX_Junior BI Analyst_Test'!C42&lt;=89),"Average Performer",IF(AND('CX_Junior BI Analyst_Test'!C42&gt;=50,'CX_Junior BI Analyst_Test'!C42&lt;=69),"Low Performer","Bottom Performer")))</f>
        <v>High Performer</v>
      </c>
      <c r="B42" s="14">
        <f>'CX_Junior BI Analyst_Test'!C42</f>
        <v>94</v>
      </c>
    </row>
    <row r="43" spans="1:2" x14ac:dyDescent="0.35">
      <c r="A43" s="11" t="str">
        <f>IF(AND('CX_Junior BI Analyst_Test'!C43&gt;=90,'CX_Junior BI Analyst_Test'!C43&lt;=100),"High Performer",IF(AND('CX_Junior BI Analyst_Test'!C43&gt;=70,'CX_Junior BI Analyst_Test'!C43&lt;=89),"Average Performer",IF(AND('CX_Junior BI Analyst_Test'!C43&gt;=50,'CX_Junior BI Analyst_Test'!C43&lt;=69),"Low Performer","Bottom Performer")))</f>
        <v>Low Performer</v>
      </c>
      <c r="B43" s="14">
        <f>'CX_Junior BI Analyst_Test'!C43</f>
        <v>52</v>
      </c>
    </row>
    <row r="44" spans="1:2" x14ac:dyDescent="0.35">
      <c r="A44" s="11" t="str">
        <f>IF(AND('CX_Junior BI Analyst_Test'!C44&gt;=90,'CX_Junior BI Analyst_Test'!C44&lt;=100),"High Performer",IF(AND('CX_Junior BI Analyst_Test'!C44&gt;=70,'CX_Junior BI Analyst_Test'!C44&lt;=89),"Average Performer",IF(AND('CX_Junior BI Analyst_Test'!C44&gt;=50,'CX_Junior BI Analyst_Test'!C44&lt;=69),"Low Performer","Bottom Performer")))</f>
        <v>Low Performer</v>
      </c>
      <c r="B44" s="14">
        <f>'CX_Junior BI Analyst_Test'!C44</f>
        <v>62</v>
      </c>
    </row>
    <row r="45" spans="1:2" x14ac:dyDescent="0.35">
      <c r="A45" s="9" t="str">
        <f>IF(AND('CX_Junior BI Analyst_Test'!C45&gt;=90,'CX_Junior BI Analyst_Test'!C45&lt;=100),"High Performer",IF(AND('CX_Junior BI Analyst_Test'!C45&gt;=70,'CX_Junior BI Analyst_Test'!C45&lt;=89),"Average Performer",IF(AND('CX_Junior BI Analyst_Test'!C45&gt;=50,'CX_Junior BI Analyst_Test'!C45&lt;=69),"Low Performer","Bottom Performer")))</f>
        <v>High Performer</v>
      </c>
      <c r="B45" s="14">
        <f>'CX_Junior BI Analyst_Test'!C45</f>
        <v>94</v>
      </c>
    </row>
    <row r="46" spans="1:2" x14ac:dyDescent="0.35">
      <c r="A46" s="10" t="str">
        <f>IF(AND('CX_Junior BI Analyst_Test'!C46&gt;=90,'CX_Junior BI Analyst_Test'!C46&lt;=100),"High Performer",IF(AND('CX_Junior BI Analyst_Test'!C46&gt;=70,'CX_Junior BI Analyst_Test'!C46&lt;=89),"Average Performer",IF(AND('CX_Junior BI Analyst_Test'!C46&gt;=50,'CX_Junior BI Analyst_Test'!C46&lt;=69),"Low Performer","Bottom Performer")))</f>
        <v>Average Performer</v>
      </c>
      <c r="B46" s="14">
        <f>'CX_Junior BI Analyst_Test'!C46</f>
        <v>86</v>
      </c>
    </row>
    <row r="47" spans="1:2" x14ac:dyDescent="0.35">
      <c r="A47" s="9" t="str">
        <f>IF(AND('CX_Junior BI Analyst_Test'!C47&gt;=90,'CX_Junior BI Analyst_Test'!C47&lt;=100),"High Performer",IF(AND('CX_Junior BI Analyst_Test'!C47&gt;=70,'CX_Junior BI Analyst_Test'!C47&lt;=89),"Average Performer",IF(AND('CX_Junior BI Analyst_Test'!C47&gt;=50,'CX_Junior BI Analyst_Test'!C47&lt;=69),"Low Performer","Bottom Performer")))</f>
        <v>High Performer</v>
      </c>
      <c r="B47" s="14">
        <f>'CX_Junior BI Analyst_Test'!C47</f>
        <v>94</v>
      </c>
    </row>
    <row r="48" spans="1:2" x14ac:dyDescent="0.35">
      <c r="A48" s="12" t="str">
        <f>IF(AND('CX_Junior BI Analyst_Test'!C48&gt;=90,'CX_Junior BI Analyst_Test'!C48&lt;=100),"High Performer",IF(AND('CX_Junior BI Analyst_Test'!C48&gt;=70,'CX_Junior BI Analyst_Test'!C48&lt;=89),"Average Performer",IF(AND('CX_Junior BI Analyst_Test'!C48&gt;=50,'CX_Junior BI Analyst_Test'!C48&lt;=69),"Low Performer","Bottom Performer")))</f>
        <v>Bottom Performer</v>
      </c>
      <c r="B48" s="14">
        <f>'CX_Junior BI Analyst_Test'!C48</f>
        <v>41</v>
      </c>
    </row>
    <row r="49" spans="1:2" x14ac:dyDescent="0.35">
      <c r="A49" s="11" t="str">
        <f>IF(AND('CX_Junior BI Analyst_Test'!C49&gt;=90,'CX_Junior BI Analyst_Test'!C49&lt;=100),"High Performer",IF(AND('CX_Junior BI Analyst_Test'!C49&gt;=70,'CX_Junior BI Analyst_Test'!C49&lt;=89),"Average Performer",IF(AND('CX_Junior BI Analyst_Test'!C49&gt;=50,'CX_Junior BI Analyst_Test'!C49&lt;=69),"Low Performer","Bottom Performer")))</f>
        <v>Low Performer</v>
      </c>
      <c r="B49" s="14">
        <f>'CX_Junior BI Analyst_Test'!C49</f>
        <v>69</v>
      </c>
    </row>
    <row r="50" spans="1:2" x14ac:dyDescent="0.35">
      <c r="A50" s="11" t="str">
        <f>IF(AND('CX_Junior BI Analyst_Test'!C50&gt;=90,'CX_Junior BI Analyst_Test'!C50&lt;=100),"High Performer",IF(AND('CX_Junior BI Analyst_Test'!C50&gt;=70,'CX_Junior BI Analyst_Test'!C50&lt;=89),"Average Performer",IF(AND('CX_Junior BI Analyst_Test'!C50&gt;=50,'CX_Junior BI Analyst_Test'!C50&lt;=69),"Low Performer","Bottom Performer")))</f>
        <v>Low Performer</v>
      </c>
      <c r="B50" s="14">
        <f>'CX_Junior BI Analyst_Test'!C50</f>
        <v>69</v>
      </c>
    </row>
    <row r="51" spans="1:2" x14ac:dyDescent="0.35">
      <c r="A51" s="11" t="str">
        <f>IF(AND('CX_Junior BI Analyst_Test'!C51&gt;=90,'CX_Junior BI Analyst_Test'!C51&lt;=100),"High Performer",IF(AND('CX_Junior BI Analyst_Test'!C51&gt;=70,'CX_Junior BI Analyst_Test'!C51&lt;=89),"Average Performer",IF(AND('CX_Junior BI Analyst_Test'!C51&gt;=50,'CX_Junior BI Analyst_Test'!C51&lt;=69),"Low Performer","Bottom Performer")))</f>
        <v>Low Performer</v>
      </c>
      <c r="B51" s="14">
        <f>'CX_Junior BI Analyst_Test'!C51</f>
        <v>61</v>
      </c>
    </row>
    <row r="52" spans="1:2" x14ac:dyDescent="0.35">
      <c r="A52" s="9" t="str">
        <f>IF(AND('CX_Junior BI Analyst_Test'!C52&gt;=90,'CX_Junior BI Analyst_Test'!C52&lt;=100),"High Performer",IF(AND('CX_Junior BI Analyst_Test'!C52&gt;=70,'CX_Junior BI Analyst_Test'!C52&lt;=89),"Average Performer",IF(AND('CX_Junior BI Analyst_Test'!C52&gt;=50,'CX_Junior BI Analyst_Test'!C52&lt;=69),"Low Performer","Bottom Performer")))</f>
        <v>High Performer</v>
      </c>
      <c r="B52" s="14">
        <f>'CX_Junior BI Analyst_Test'!C52</f>
        <v>92</v>
      </c>
    </row>
    <row r="53" spans="1:2" x14ac:dyDescent="0.35">
      <c r="A53" s="9" t="str">
        <f>IF(AND('CX_Junior BI Analyst_Test'!C53&gt;=90,'CX_Junior BI Analyst_Test'!C53&lt;=100),"High Performer",IF(AND('CX_Junior BI Analyst_Test'!C53&gt;=70,'CX_Junior BI Analyst_Test'!C53&lt;=89),"Average Performer",IF(AND('CX_Junior BI Analyst_Test'!C53&gt;=50,'CX_Junior BI Analyst_Test'!C53&lt;=69),"Low Performer","Bottom Performer")))</f>
        <v>High Performer</v>
      </c>
      <c r="B53" s="14">
        <f>'CX_Junior BI Analyst_Test'!C53</f>
        <v>96</v>
      </c>
    </row>
    <row r="54" spans="1:2" x14ac:dyDescent="0.35">
      <c r="A54" s="12" t="str">
        <f>IF(AND('CX_Junior BI Analyst_Test'!C54&gt;=90,'CX_Junior BI Analyst_Test'!C54&lt;=100),"High Performer",IF(AND('CX_Junior BI Analyst_Test'!C54&gt;=70,'CX_Junior BI Analyst_Test'!C54&lt;=89),"Average Performer",IF(AND('CX_Junior BI Analyst_Test'!C54&gt;=50,'CX_Junior BI Analyst_Test'!C54&lt;=69),"Low Performer","Bottom Performer")))</f>
        <v>Bottom Performer</v>
      </c>
      <c r="B54" s="14">
        <f>'CX_Junior BI Analyst_Test'!C54</f>
        <v>34</v>
      </c>
    </row>
    <row r="55" spans="1:2" x14ac:dyDescent="0.35">
      <c r="A55" s="11" t="str">
        <f>IF(AND('CX_Junior BI Analyst_Test'!C55&gt;=90,'CX_Junior BI Analyst_Test'!C55&lt;=100),"High Performer",IF(AND('CX_Junior BI Analyst_Test'!C55&gt;=70,'CX_Junior BI Analyst_Test'!C55&lt;=89),"Average Performer",IF(AND('CX_Junior BI Analyst_Test'!C55&gt;=50,'CX_Junior BI Analyst_Test'!C55&lt;=69),"Low Performer","Bottom Performer")))</f>
        <v>Low Performer</v>
      </c>
      <c r="B55" s="14">
        <f>'CX_Junior BI Analyst_Test'!C55</f>
        <v>53</v>
      </c>
    </row>
    <row r="56" spans="1:2" x14ac:dyDescent="0.35">
      <c r="A56" s="9" t="str">
        <f>IF(AND('CX_Junior BI Analyst_Test'!C56&gt;=90,'CX_Junior BI Analyst_Test'!C56&lt;=100),"High Performer",IF(AND('CX_Junior BI Analyst_Test'!C56&gt;=70,'CX_Junior BI Analyst_Test'!C56&lt;=89),"Average Performer",IF(AND('CX_Junior BI Analyst_Test'!C56&gt;=50,'CX_Junior BI Analyst_Test'!C56&lt;=69),"Low Performer","Bottom Performer")))</f>
        <v>High Performer</v>
      </c>
      <c r="B56" s="14">
        <f>'CX_Junior BI Analyst_Test'!C56</f>
        <v>94</v>
      </c>
    </row>
    <row r="57" spans="1:2" x14ac:dyDescent="0.35">
      <c r="A57" s="11" t="str">
        <f>IF(AND('CX_Junior BI Analyst_Test'!C57&gt;=90,'CX_Junior BI Analyst_Test'!C57&lt;=100),"High Performer",IF(AND('CX_Junior BI Analyst_Test'!C57&gt;=70,'CX_Junior BI Analyst_Test'!C57&lt;=89),"Average Performer",IF(AND('CX_Junior BI Analyst_Test'!C57&gt;=50,'CX_Junior BI Analyst_Test'!C57&lt;=69),"Low Performer","Bottom Performer")))</f>
        <v>Low Performer</v>
      </c>
      <c r="B57" s="14">
        <f>'CX_Junior BI Analyst_Test'!C57</f>
        <v>61</v>
      </c>
    </row>
    <row r="58" spans="1:2" x14ac:dyDescent="0.35">
      <c r="A58" s="10" t="str">
        <f>IF(AND('CX_Junior BI Analyst_Test'!C58&gt;=90,'CX_Junior BI Analyst_Test'!C58&lt;=100),"High Performer",IF(AND('CX_Junior BI Analyst_Test'!C58&gt;=70,'CX_Junior BI Analyst_Test'!C58&lt;=89),"Average Performer",IF(AND('CX_Junior BI Analyst_Test'!C58&gt;=50,'CX_Junior BI Analyst_Test'!C58&lt;=69),"Low Performer","Bottom Performer")))</f>
        <v>Average Performer</v>
      </c>
      <c r="B58" s="14">
        <f>'CX_Junior BI Analyst_Test'!C58</f>
        <v>88</v>
      </c>
    </row>
    <row r="59" spans="1:2" x14ac:dyDescent="0.35">
      <c r="A59" s="10" t="str">
        <f>IF(AND('CX_Junior BI Analyst_Test'!C59&gt;=90,'CX_Junior BI Analyst_Test'!C59&lt;=100),"High Performer",IF(AND('CX_Junior BI Analyst_Test'!C59&gt;=70,'CX_Junior BI Analyst_Test'!C59&lt;=89),"Average Performer",IF(AND('CX_Junior BI Analyst_Test'!C59&gt;=50,'CX_Junior BI Analyst_Test'!C59&lt;=69),"Low Performer","Bottom Performer")))</f>
        <v>Average Performer</v>
      </c>
      <c r="B59" s="14">
        <f>'CX_Junior BI Analyst_Test'!C59</f>
        <v>77</v>
      </c>
    </row>
    <row r="60" spans="1:2" x14ac:dyDescent="0.35">
      <c r="A60" s="12" t="str">
        <f>IF(AND('CX_Junior BI Analyst_Test'!C60&gt;=90,'CX_Junior BI Analyst_Test'!C60&lt;=100),"High Performer",IF(AND('CX_Junior BI Analyst_Test'!C60&gt;=70,'CX_Junior BI Analyst_Test'!C60&lt;=89),"Average Performer",IF(AND('CX_Junior BI Analyst_Test'!C60&gt;=50,'CX_Junior BI Analyst_Test'!C60&lt;=69),"Low Performer","Bottom Performer")))</f>
        <v>Bottom Performer</v>
      </c>
      <c r="B60" s="14">
        <f>'CX_Junior BI Analyst_Test'!C60</f>
        <v>33</v>
      </c>
    </row>
    <row r="61" spans="1:2" x14ac:dyDescent="0.35">
      <c r="A61" s="12" t="str">
        <f>IF(AND('CX_Junior BI Analyst_Test'!C61&gt;=90,'CX_Junior BI Analyst_Test'!C61&lt;=100),"High Performer",IF(AND('CX_Junior BI Analyst_Test'!C61&gt;=70,'CX_Junior BI Analyst_Test'!C61&lt;=89),"Average Performer",IF(AND('CX_Junior BI Analyst_Test'!C61&gt;=50,'CX_Junior BI Analyst_Test'!C61&lt;=69),"Low Performer","Bottom Performer")))</f>
        <v>Bottom Performer</v>
      </c>
      <c r="B61" s="14">
        <f>'CX_Junior BI Analyst_Test'!C61</f>
        <v>35</v>
      </c>
    </row>
    <row r="62" spans="1:2" x14ac:dyDescent="0.35">
      <c r="A62" s="11" t="str">
        <f>IF(AND('CX_Junior BI Analyst_Test'!C62&gt;=90,'CX_Junior BI Analyst_Test'!C62&lt;=100),"High Performer",IF(AND('CX_Junior BI Analyst_Test'!C62&gt;=70,'CX_Junior BI Analyst_Test'!C62&lt;=89),"Average Performer",IF(AND('CX_Junior BI Analyst_Test'!C62&gt;=50,'CX_Junior BI Analyst_Test'!C62&lt;=69),"Low Performer","Bottom Performer")))</f>
        <v>Low Performer</v>
      </c>
      <c r="B62" s="14">
        <f>'CX_Junior BI Analyst_Test'!C62</f>
        <v>65</v>
      </c>
    </row>
  </sheetData>
  <autoFilter ref="A1:A62" xr:uid="{EC69733C-5E7A-4613-9262-59853F3B490D}"/>
  <mergeCells count="1">
    <mergeCell ref="E2:G2"/>
  </mergeCells>
  <conditionalFormatting sqref="B2:B62">
    <cfRule type="dataBar" priority="1">
      <dataBar>
        <cfvo type="min"/>
        <cfvo type="max"/>
        <color rgb="FF008AEF"/>
      </dataBar>
      <extLst>
        <ext xmlns:x14="http://schemas.microsoft.com/office/spreadsheetml/2009/9/main" uri="{B025F937-C7B1-47D3-B67F-A62EFF666E3E}">
          <x14:id>{9ED9399A-E32F-4C38-88B2-0AEEF81DCFE8}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ED9399A-E32F-4C38-88B2-0AEEF81DCFE8}">
            <x14:dataBar minLength="0" maxLength="100" border="1" negativeBarBorderColorSameAsPositive="0">
              <x14:cfvo type="autoMin"/>
              <x14:cfvo type="autoMax"/>
              <x14:borderColor rgb="FF008AEF"/>
              <x14:negativeFillColor rgb="FFFF0000"/>
              <x14:negativeBorderColor rgb="FFFF0000"/>
              <x14:axisColor rgb="FF000000"/>
            </x14:dataBar>
          </x14:cfRule>
          <xm:sqref>B2:B62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A8841-89F4-4626-AB91-22A7329A7932}">
  <dimension ref="B3:G79"/>
  <sheetViews>
    <sheetView showGridLines="0" workbookViewId="0">
      <selection activeCell="D78" sqref="D78"/>
    </sheetView>
  </sheetViews>
  <sheetFormatPr defaultRowHeight="14.5" x14ac:dyDescent="0.35"/>
  <cols>
    <col min="2" max="2" width="37.7265625" bestFit="1" customWidth="1"/>
    <col min="3" max="3" width="24.81640625" bestFit="1" customWidth="1"/>
    <col min="4" max="4" width="14.26953125" bestFit="1" customWidth="1"/>
    <col min="5" max="5" width="14.6328125" bestFit="1" customWidth="1"/>
    <col min="6" max="6" width="13.81640625" bestFit="1" customWidth="1"/>
    <col min="7" max="7" width="12" customWidth="1"/>
  </cols>
  <sheetData>
    <row r="3" spans="2:7" x14ac:dyDescent="0.35">
      <c r="B3" s="13" t="s">
        <v>13</v>
      </c>
      <c r="C3" s="14" t="s">
        <v>782</v>
      </c>
    </row>
    <row r="4" spans="2:7" x14ac:dyDescent="0.35">
      <c r="B4" s="15" t="s">
        <v>433</v>
      </c>
      <c r="C4" s="16">
        <v>71.571428571428569</v>
      </c>
    </row>
    <row r="5" spans="2:7" x14ac:dyDescent="0.35">
      <c r="B5" s="15" t="s">
        <v>85</v>
      </c>
      <c r="C5" s="16">
        <v>76.736842105263165</v>
      </c>
    </row>
    <row r="6" spans="2:7" x14ac:dyDescent="0.35">
      <c r="B6" s="15" t="s">
        <v>169</v>
      </c>
      <c r="C6" s="16">
        <v>66.611111111111114</v>
      </c>
    </row>
    <row r="7" spans="2:7" x14ac:dyDescent="0.35">
      <c r="B7" s="15" t="s">
        <v>109</v>
      </c>
      <c r="C7" s="16">
        <v>71.82352941176471</v>
      </c>
    </row>
    <row r="8" spans="2:7" x14ac:dyDescent="0.35">
      <c r="B8" s="15" t="s">
        <v>781</v>
      </c>
      <c r="C8" s="16">
        <v>71.786885245901644</v>
      </c>
    </row>
    <row r="12" spans="2:7" x14ac:dyDescent="0.35">
      <c r="B12" s="13" t="s">
        <v>787</v>
      </c>
      <c r="C12" s="13" t="s">
        <v>783</v>
      </c>
      <c r="D12" s="14"/>
      <c r="E12" s="14"/>
      <c r="F12" s="14"/>
      <c r="G12" s="14"/>
    </row>
    <row r="13" spans="2:7" x14ac:dyDescent="0.35">
      <c r="B13" s="13" t="s">
        <v>780</v>
      </c>
      <c r="C13" s="14" t="s">
        <v>433</v>
      </c>
      <c r="D13" s="14" t="s">
        <v>85</v>
      </c>
      <c r="E13" s="14" t="s">
        <v>169</v>
      </c>
      <c r="F13" s="14" t="s">
        <v>109</v>
      </c>
      <c r="G13" s="14" t="s">
        <v>781</v>
      </c>
    </row>
    <row r="14" spans="2:7" x14ac:dyDescent="0.35">
      <c r="B14" s="15" t="s">
        <v>555</v>
      </c>
      <c r="C14" s="14"/>
      <c r="D14" s="14">
        <v>94</v>
      </c>
      <c r="E14" s="14"/>
      <c r="F14" s="14"/>
      <c r="G14" s="14">
        <v>94</v>
      </c>
    </row>
    <row r="15" spans="2:7" x14ac:dyDescent="0.35">
      <c r="B15" s="15" t="s">
        <v>375</v>
      </c>
      <c r="C15" s="14"/>
      <c r="D15" s="14">
        <v>60</v>
      </c>
      <c r="E15" s="14"/>
      <c r="F15" s="14"/>
      <c r="G15" s="14">
        <v>60</v>
      </c>
    </row>
    <row r="16" spans="2:7" x14ac:dyDescent="0.35">
      <c r="B16" s="15" t="s">
        <v>533</v>
      </c>
      <c r="C16" s="14"/>
      <c r="D16" s="14"/>
      <c r="E16" s="14">
        <v>71</v>
      </c>
      <c r="F16" s="14"/>
      <c r="G16" s="14">
        <v>71</v>
      </c>
    </row>
    <row r="17" spans="2:7" x14ac:dyDescent="0.35">
      <c r="B17" s="15" t="s">
        <v>695</v>
      </c>
      <c r="C17" s="14"/>
      <c r="D17" s="14"/>
      <c r="E17" s="14">
        <v>53</v>
      </c>
      <c r="F17" s="14"/>
      <c r="G17" s="14">
        <v>53</v>
      </c>
    </row>
    <row r="18" spans="2:7" x14ac:dyDescent="0.35">
      <c r="B18" s="15" t="s">
        <v>739</v>
      </c>
      <c r="C18" s="14"/>
      <c r="D18" s="14"/>
      <c r="E18" s="14">
        <v>77</v>
      </c>
      <c r="F18" s="14"/>
      <c r="G18" s="14">
        <v>77</v>
      </c>
    </row>
    <row r="19" spans="2:7" x14ac:dyDescent="0.35">
      <c r="B19" s="15" t="s">
        <v>768</v>
      </c>
      <c r="C19" s="14"/>
      <c r="D19" s="14"/>
      <c r="E19" s="14"/>
      <c r="F19" s="14">
        <v>65</v>
      </c>
      <c r="G19" s="14">
        <v>65</v>
      </c>
    </row>
    <row r="20" spans="2:7" x14ac:dyDescent="0.35">
      <c r="B20" s="15" t="s">
        <v>309</v>
      </c>
      <c r="C20" s="14"/>
      <c r="D20" s="14"/>
      <c r="E20" s="14">
        <v>65</v>
      </c>
      <c r="F20" s="14"/>
      <c r="G20" s="14">
        <v>65</v>
      </c>
    </row>
    <row r="21" spans="2:7" x14ac:dyDescent="0.35">
      <c r="B21" s="15" t="s">
        <v>263</v>
      </c>
      <c r="C21" s="14"/>
      <c r="D21" s="14"/>
      <c r="E21" s="14">
        <v>78</v>
      </c>
      <c r="F21" s="14"/>
      <c r="G21" s="14">
        <v>78</v>
      </c>
    </row>
    <row r="22" spans="2:7" x14ac:dyDescent="0.35">
      <c r="B22" s="15" t="s">
        <v>287</v>
      </c>
      <c r="C22" s="14"/>
      <c r="D22" s="14"/>
      <c r="E22" s="14"/>
      <c r="F22" s="14">
        <v>78</v>
      </c>
      <c r="G22" s="14">
        <v>78</v>
      </c>
    </row>
    <row r="23" spans="2:7" x14ac:dyDescent="0.35">
      <c r="B23" s="15" t="s">
        <v>385</v>
      </c>
      <c r="C23" s="14"/>
      <c r="D23" s="14">
        <v>81</v>
      </c>
      <c r="E23" s="14"/>
      <c r="F23" s="14"/>
      <c r="G23" s="14">
        <v>81</v>
      </c>
    </row>
    <row r="24" spans="2:7" x14ac:dyDescent="0.35">
      <c r="B24" s="15" t="s">
        <v>544</v>
      </c>
      <c r="C24" s="14"/>
      <c r="D24" s="14">
        <v>100</v>
      </c>
      <c r="E24" s="14"/>
      <c r="F24" s="14"/>
      <c r="G24" s="14">
        <v>100</v>
      </c>
    </row>
    <row r="25" spans="2:7" x14ac:dyDescent="0.35">
      <c r="B25" s="15" t="s">
        <v>227</v>
      </c>
      <c r="C25" s="14"/>
      <c r="D25" s="14"/>
      <c r="E25" s="14"/>
      <c r="F25" s="14">
        <v>86</v>
      </c>
      <c r="G25" s="14">
        <v>86</v>
      </c>
    </row>
    <row r="26" spans="2:7" x14ac:dyDescent="0.35">
      <c r="B26" s="15" t="s">
        <v>656</v>
      </c>
      <c r="C26" s="14"/>
      <c r="D26" s="14"/>
      <c r="E26" s="14">
        <v>61</v>
      </c>
      <c r="F26" s="14"/>
      <c r="G26" s="14">
        <v>61</v>
      </c>
    </row>
    <row r="27" spans="2:7" x14ac:dyDescent="0.35">
      <c r="B27" s="15" t="s">
        <v>413</v>
      </c>
      <c r="C27" s="14"/>
      <c r="D27" s="14"/>
      <c r="E27" s="14">
        <v>59</v>
      </c>
      <c r="F27" s="14"/>
      <c r="G27" s="14">
        <v>59</v>
      </c>
    </row>
    <row r="28" spans="2:7" x14ac:dyDescent="0.35">
      <c r="B28" s="15" t="s">
        <v>158</v>
      </c>
      <c r="C28" s="14"/>
      <c r="D28" s="14">
        <v>84</v>
      </c>
      <c r="E28" s="14"/>
      <c r="F28" s="14"/>
      <c r="G28" s="14">
        <v>84</v>
      </c>
    </row>
    <row r="29" spans="2:7" x14ac:dyDescent="0.35">
      <c r="B29" s="15" t="s">
        <v>91</v>
      </c>
      <c r="C29" s="14"/>
      <c r="D29" s="14">
        <v>140</v>
      </c>
      <c r="E29" s="14"/>
      <c r="F29" s="14"/>
      <c r="G29" s="14">
        <v>140</v>
      </c>
    </row>
    <row r="30" spans="2:7" x14ac:dyDescent="0.35">
      <c r="B30" s="15" t="s">
        <v>199</v>
      </c>
      <c r="C30" s="14"/>
      <c r="D30" s="14"/>
      <c r="E30" s="14"/>
      <c r="F30" s="14">
        <v>34</v>
      </c>
      <c r="G30" s="14">
        <v>34</v>
      </c>
    </row>
    <row r="31" spans="2:7" x14ac:dyDescent="0.35">
      <c r="B31" s="15" t="s">
        <v>238</v>
      </c>
      <c r="C31" s="14"/>
      <c r="D31" s="14"/>
      <c r="E31" s="14"/>
      <c r="F31" s="14">
        <v>70</v>
      </c>
      <c r="G31" s="14">
        <v>70</v>
      </c>
    </row>
    <row r="32" spans="2:7" x14ac:dyDescent="0.35">
      <c r="B32" s="15" t="s">
        <v>445</v>
      </c>
      <c r="C32" s="14"/>
      <c r="D32" s="14"/>
      <c r="E32" s="14">
        <v>69</v>
      </c>
      <c r="F32" s="14"/>
      <c r="G32" s="14">
        <v>69</v>
      </c>
    </row>
    <row r="33" spans="2:7" x14ac:dyDescent="0.35">
      <c r="B33" s="15" t="s">
        <v>131</v>
      </c>
      <c r="C33" s="14"/>
      <c r="D33" s="14">
        <v>72</v>
      </c>
      <c r="E33" s="14"/>
      <c r="F33" s="14"/>
      <c r="G33" s="14">
        <v>72</v>
      </c>
    </row>
    <row r="34" spans="2:7" x14ac:dyDescent="0.35">
      <c r="B34" s="15" t="s">
        <v>187</v>
      </c>
      <c r="C34" s="14"/>
      <c r="D34" s="14"/>
      <c r="E34" s="14"/>
      <c r="F34" s="14">
        <v>36</v>
      </c>
      <c r="G34" s="14">
        <v>36</v>
      </c>
    </row>
    <row r="35" spans="2:7" x14ac:dyDescent="0.35">
      <c r="B35" s="15" t="s">
        <v>749</v>
      </c>
      <c r="C35" s="14"/>
      <c r="D35" s="14"/>
      <c r="E35" s="14">
        <v>33</v>
      </c>
      <c r="F35" s="14"/>
      <c r="G35" s="14">
        <v>33</v>
      </c>
    </row>
    <row r="36" spans="2:7" x14ac:dyDescent="0.35">
      <c r="B36" s="15" t="s">
        <v>627</v>
      </c>
      <c r="C36" s="14">
        <v>41</v>
      </c>
      <c r="D36" s="14"/>
      <c r="E36" s="14"/>
      <c r="F36" s="14"/>
      <c r="G36" s="14">
        <v>41</v>
      </c>
    </row>
    <row r="37" spans="2:7" x14ac:dyDescent="0.35">
      <c r="B37" s="15" t="s">
        <v>297</v>
      </c>
      <c r="C37" s="14"/>
      <c r="D37" s="14"/>
      <c r="E37" s="14"/>
      <c r="F37" s="14">
        <v>89</v>
      </c>
      <c r="G37" s="14">
        <v>89</v>
      </c>
    </row>
    <row r="38" spans="2:7" x14ac:dyDescent="0.35">
      <c r="B38" s="15" t="s">
        <v>344</v>
      </c>
      <c r="C38" s="14"/>
      <c r="D38" s="14">
        <v>155</v>
      </c>
      <c r="E38" s="14"/>
      <c r="F38" s="14"/>
      <c r="G38" s="14">
        <v>155</v>
      </c>
    </row>
    <row r="39" spans="2:7" x14ac:dyDescent="0.35">
      <c r="B39" s="15" t="s">
        <v>647</v>
      </c>
      <c r="C39" s="14"/>
      <c r="D39" s="14">
        <v>69</v>
      </c>
      <c r="E39" s="14"/>
      <c r="F39" s="14"/>
      <c r="G39" s="14">
        <v>69</v>
      </c>
    </row>
    <row r="40" spans="2:7" x14ac:dyDescent="0.35">
      <c r="B40" s="15" t="s">
        <v>678</v>
      </c>
      <c r="C40" s="14">
        <v>96</v>
      </c>
      <c r="D40" s="14"/>
      <c r="E40" s="14"/>
      <c r="F40" s="14"/>
      <c r="G40" s="14">
        <v>96</v>
      </c>
    </row>
    <row r="41" spans="2:7" x14ac:dyDescent="0.35">
      <c r="B41" s="15" t="s">
        <v>423</v>
      </c>
      <c r="C41" s="14"/>
      <c r="D41" s="14">
        <v>33</v>
      </c>
      <c r="E41" s="14"/>
      <c r="F41" s="14"/>
      <c r="G41" s="14">
        <v>33</v>
      </c>
    </row>
    <row r="42" spans="2:7" x14ac:dyDescent="0.35">
      <c r="B42" s="15" t="s">
        <v>567</v>
      </c>
      <c r="C42" s="14"/>
      <c r="D42" s="14"/>
      <c r="E42" s="14">
        <v>52</v>
      </c>
      <c r="F42" s="14"/>
      <c r="G42" s="14">
        <v>52</v>
      </c>
    </row>
    <row r="43" spans="2:7" x14ac:dyDescent="0.35">
      <c r="B43" s="15" t="s">
        <v>637</v>
      </c>
      <c r="C43" s="14"/>
      <c r="D43" s="14">
        <v>69</v>
      </c>
      <c r="E43" s="14"/>
      <c r="F43" s="14"/>
      <c r="G43" s="14">
        <v>69</v>
      </c>
    </row>
    <row r="44" spans="2:7" x14ac:dyDescent="0.35">
      <c r="B44" s="15" t="s">
        <v>436</v>
      </c>
      <c r="C44" s="14">
        <v>64</v>
      </c>
      <c r="D44" s="14"/>
      <c r="E44" s="14"/>
      <c r="F44" s="14"/>
      <c r="G44" s="14">
        <v>64</v>
      </c>
    </row>
    <row r="45" spans="2:7" x14ac:dyDescent="0.35">
      <c r="B45" s="15" t="s">
        <v>395</v>
      </c>
      <c r="C45" s="14"/>
      <c r="D45" s="14"/>
      <c r="E45" s="14">
        <v>78</v>
      </c>
      <c r="F45" s="14"/>
      <c r="G45" s="14">
        <v>78</v>
      </c>
    </row>
    <row r="46" spans="2:7" x14ac:dyDescent="0.35">
      <c r="B46" s="15" t="s">
        <v>208</v>
      </c>
      <c r="C46" s="14"/>
      <c r="D46" s="14"/>
      <c r="E46" s="14"/>
      <c r="F46" s="14">
        <v>74</v>
      </c>
      <c r="G46" s="14">
        <v>74</v>
      </c>
    </row>
    <row r="47" spans="2:7" x14ac:dyDescent="0.35">
      <c r="B47" s="15" t="s">
        <v>219</v>
      </c>
      <c r="C47" s="14"/>
      <c r="D47" s="14"/>
      <c r="E47" s="14"/>
      <c r="F47" s="14">
        <v>74</v>
      </c>
      <c r="G47" s="14">
        <v>74</v>
      </c>
    </row>
    <row r="48" spans="2:7" x14ac:dyDescent="0.35">
      <c r="B48" s="15" t="s">
        <v>174</v>
      </c>
      <c r="C48" s="14"/>
      <c r="D48" s="14"/>
      <c r="E48" s="14">
        <v>90</v>
      </c>
      <c r="F48" s="14"/>
      <c r="G48" s="14">
        <v>90</v>
      </c>
    </row>
    <row r="49" spans="2:7" x14ac:dyDescent="0.35">
      <c r="B49" s="15" t="s">
        <v>457</v>
      </c>
      <c r="C49" s="14">
        <v>83</v>
      </c>
      <c r="D49" s="14">
        <v>94</v>
      </c>
      <c r="E49" s="14"/>
      <c r="F49" s="14"/>
      <c r="G49" s="14">
        <v>177</v>
      </c>
    </row>
    <row r="50" spans="2:7" x14ac:dyDescent="0.35">
      <c r="B50" s="15" t="s">
        <v>493</v>
      </c>
      <c r="C50" s="14"/>
      <c r="D50" s="14">
        <v>82</v>
      </c>
      <c r="E50" s="14"/>
      <c r="F50" s="14"/>
      <c r="G50" s="14">
        <v>82</v>
      </c>
    </row>
    <row r="51" spans="2:7" x14ac:dyDescent="0.35">
      <c r="B51" s="15" t="s">
        <v>479</v>
      </c>
      <c r="C51" s="14"/>
      <c r="D51" s="14"/>
      <c r="E51" s="14"/>
      <c r="F51" s="14">
        <v>80</v>
      </c>
      <c r="G51" s="14">
        <v>80</v>
      </c>
    </row>
    <row r="52" spans="2:7" x14ac:dyDescent="0.35">
      <c r="B52" s="15" t="s">
        <v>251</v>
      </c>
      <c r="C52" s="14"/>
      <c r="D52" s="14"/>
      <c r="E52" s="14">
        <v>84</v>
      </c>
      <c r="F52" s="14"/>
      <c r="G52" s="14">
        <v>84</v>
      </c>
    </row>
    <row r="53" spans="2:7" x14ac:dyDescent="0.35">
      <c r="B53" s="15" t="s">
        <v>355</v>
      </c>
      <c r="C53" s="14"/>
      <c r="D53" s="14">
        <v>71</v>
      </c>
      <c r="E53" s="14"/>
      <c r="F53" s="14"/>
      <c r="G53" s="14">
        <v>71</v>
      </c>
    </row>
    <row r="54" spans="2:7" x14ac:dyDescent="0.35">
      <c r="B54" s="15" t="s">
        <v>578</v>
      </c>
      <c r="C54" s="14">
        <v>62</v>
      </c>
      <c r="D54" s="14"/>
      <c r="E54" s="14"/>
      <c r="F54" s="14"/>
      <c r="G54" s="14">
        <v>62</v>
      </c>
    </row>
    <row r="55" spans="2:7" x14ac:dyDescent="0.35">
      <c r="B55" s="15" t="s">
        <v>113</v>
      </c>
      <c r="C55" s="14"/>
      <c r="D55" s="14"/>
      <c r="E55" s="14"/>
      <c r="F55" s="14">
        <v>86</v>
      </c>
      <c r="G55" s="14">
        <v>86</v>
      </c>
    </row>
    <row r="56" spans="2:7" x14ac:dyDescent="0.35">
      <c r="B56" s="15" t="s">
        <v>468</v>
      </c>
      <c r="C56" s="14"/>
      <c r="D56" s="14"/>
      <c r="E56" s="14">
        <v>94</v>
      </c>
      <c r="F56" s="14"/>
      <c r="G56" s="14">
        <v>94</v>
      </c>
    </row>
    <row r="57" spans="2:7" x14ac:dyDescent="0.35">
      <c r="B57" s="15" t="s">
        <v>504</v>
      </c>
      <c r="C57" s="14"/>
      <c r="D57" s="14"/>
      <c r="E57" s="14"/>
      <c r="F57" s="14">
        <v>84</v>
      </c>
      <c r="G57" s="14">
        <v>84</v>
      </c>
    </row>
    <row r="58" spans="2:7" x14ac:dyDescent="0.35">
      <c r="B58" s="15" t="s">
        <v>403</v>
      </c>
      <c r="C58" s="14"/>
      <c r="D58" s="14"/>
      <c r="E58" s="14"/>
      <c r="F58" s="14">
        <v>92</v>
      </c>
      <c r="G58" s="14">
        <v>92</v>
      </c>
    </row>
    <row r="59" spans="2:7" x14ac:dyDescent="0.35">
      <c r="B59" s="15" t="s">
        <v>729</v>
      </c>
      <c r="C59" s="14"/>
      <c r="D59" s="14"/>
      <c r="E59" s="14">
        <v>88</v>
      </c>
      <c r="F59" s="14"/>
      <c r="G59" s="14">
        <v>88</v>
      </c>
    </row>
    <row r="60" spans="2:7" x14ac:dyDescent="0.35">
      <c r="B60" s="15" t="s">
        <v>146</v>
      </c>
      <c r="C60" s="14"/>
      <c r="D60" s="14">
        <v>84</v>
      </c>
      <c r="E60" s="14"/>
      <c r="F60" s="14"/>
      <c r="G60" s="14">
        <v>84</v>
      </c>
    </row>
    <row r="61" spans="2:7" x14ac:dyDescent="0.35">
      <c r="B61" s="15" t="s">
        <v>590</v>
      </c>
      <c r="C61" s="14">
        <v>94</v>
      </c>
      <c r="D61" s="14"/>
      <c r="E61" s="14"/>
      <c r="F61" s="14"/>
      <c r="G61" s="14">
        <v>94</v>
      </c>
    </row>
    <row r="62" spans="2:7" x14ac:dyDescent="0.35">
      <c r="B62" s="15" t="s">
        <v>321</v>
      </c>
      <c r="C62" s="14"/>
      <c r="D62" s="14">
        <v>76</v>
      </c>
      <c r="E62" s="14"/>
      <c r="F62" s="14"/>
      <c r="G62" s="14">
        <v>76</v>
      </c>
    </row>
    <row r="63" spans="2:7" x14ac:dyDescent="0.35">
      <c r="B63" s="15" t="s">
        <v>666</v>
      </c>
      <c r="C63" s="14"/>
      <c r="D63" s="14"/>
      <c r="E63" s="14"/>
      <c r="F63" s="14">
        <v>92</v>
      </c>
      <c r="G63" s="14">
        <v>92</v>
      </c>
    </row>
    <row r="64" spans="2:7" x14ac:dyDescent="0.35">
      <c r="B64" s="15" t="s">
        <v>513</v>
      </c>
      <c r="C64" s="14"/>
      <c r="D64" s="14"/>
      <c r="E64" s="14">
        <v>73</v>
      </c>
      <c r="F64" s="14"/>
      <c r="G64" s="14">
        <v>73</v>
      </c>
    </row>
    <row r="65" spans="2:7" x14ac:dyDescent="0.35">
      <c r="B65" s="15" t="s">
        <v>522</v>
      </c>
      <c r="C65" s="14"/>
      <c r="D65" s="14"/>
      <c r="E65" s="14">
        <v>39</v>
      </c>
      <c r="F65" s="14"/>
      <c r="G65" s="14">
        <v>39</v>
      </c>
    </row>
    <row r="66" spans="2:7" x14ac:dyDescent="0.35">
      <c r="B66" s="15" t="s">
        <v>707</v>
      </c>
      <c r="C66" s="14"/>
      <c r="D66" s="14">
        <v>94</v>
      </c>
      <c r="E66" s="14"/>
      <c r="F66" s="14"/>
      <c r="G66" s="14">
        <v>94</v>
      </c>
    </row>
    <row r="67" spans="2:7" x14ac:dyDescent="0.35">
      <c r="B67" s="15" t="s">
        <v>721</v>
      </c>
      <c r="C67" s="14">
        <v>61</v>
      </c>
      <c r="D67" s="14"/>
      <c r="E67" s="14"/>
      <c r="F67" s="14"/>
      <c r="G67" s="14">
        <v>61</v>
      </c>
    </row>
    <row r="68" spans="2:7" x14ac:dyDescent="0.35">
      <c r="B68" s="15" t="s">
        <v>687</v>
      </c>
      <c r="C68" s="14"/>
      <c r="D68" s="14"/>
      <c r="E68" s="14"/>
      <c r="F68" s="14">
        <v>34</v>
      </c>
      <c r="G68" s="14">
        <v>34</v>
      </c>
    </row>
    <row r="69" spans="2:7" x14ac:dyDescent="0.35">
      <c r="B69" s="15" t="s">
        <v>758</v>
      </c>
      <c r="C69" s="14"/>
      <c r="D69" s="14"/>
      <c r="E69" s="14">
        <v>35</v>
      </c>
      <c r="F69" s="14"/>
      <c r="G69" s="14">
        <v>35</v>
      </c>
    </row>
    <row r="70" spans="2:7" x14ac:dyDescent="0.35">
      <c r="B70" s="15" t="s">
        <v>276</v>
      </c>
      <c r="C70" s="14"/>
      <c r="D70" s="14"/>
      <c r="E70" s="14"/>
      <c r="F70" s="14">
        <v>61</v>
      </c>
      <c r="G70" s="14">
        <v>61</v>
      </c>
    </row>
    <row r="71" spans="2:7" x14ac:dyDescent="0.35">
      <c r="B71" s="15" t="s">
        <v>604</v>
      </c>
      <c r="C71" s="14"/>
      <c r="D71" s="14"/>
      <c r="E71" s="14"/>
      <c r="F71" s="14">
        <v>86</v>
      </c>
      <c r="G71" s="14">
        <v>86</v>
      </c>
    </row>
    <row r="72" spans="2:7" x14ac:dyDescent="0.35">
      <c r="B72" s="15" t="s">
        <v>781</v>
      </c>
      <c r="C72" s="14">
        <v>501</v>
      </c>
      <c r="D72" s="14">
        <v>1458</v>
      </c>
      <c r="E72" s="14">
        <v>1199</v>
      </c>
      <c r="F72" s="14">
        <v>1221</v>
      </c>
      <c r="G72" s="14">
        <v>4379</v>
      </c>
    </row>
    <row r="75" spans="2:7" x14ac:dyDescent="0.35">
      <c r="B75" s="23" t="s">
        <v>793</v>
      </c>
      <c r="C75" s="24" t="s">
        <v>433</v>
      </c>
      <c r="D75" s="24" t="s">
        <v>85</v>
      </c>
      <c r="E75" s="24" t="s">
        <v>169</v>
      </c>
      <c r="F75" s="24" t="s">
        <v>109</v>
      </c>
    </row>
    <row r="76" spans="2:7" x14ac:dyDescent="0.35">
      <c r="B76" s="17" t="s">
        <v>789</v>
      </c>
      <c r="C76" s="14">
        <f>COUNTIFS(C14:C71,"&gt;90")</f>
        <v>2</v>
      </c>
      <c r="D76" s="14">
        <f t="shared" ref="D76:F76" si="0">COUNTIFS(D14:D71,"&gt;90")</f>
        <v>6</v>
      </c>
      <c r="E76" s="14">
        <f t="shared" si="0"/>
        <v>1</v>
      </c>
      <c r="F76" s="14">
        <f t="shared" si="0"/>
        <v>2</v>
      </c>
    </row>
    <row r="77" spans="2:7" x14ac:dyDescent="0.35">
      <c r="B77" s="18" t="s">
        <v>790</v>
      </c>
      <c r="C77" s="14">
        <f>COUNT(C14:C71)</f>
        <v>7</v>
      </c>
      <c r="D77" s="14">
        <f t="shared" ref="D77:F77" si="1">COUNT(D14:D71)</f>
        <v>17</v>
      </c>
      <c r="E77" s="14">
        <f t="shared" si="1"/>
        <v>18</v>
      </c>
      <c r="F77" s="14">
        <f t="shared" si="1"/>
        <v>17</v>
      </c>
    </row>
    <row r="78" spans="2:7" x14ac:dyDescent="0.35">
      <c r="B78" s="19" t="s">
        <v>791</v>
      </c>
      <c r="C78" s="21">
        <f>C76/C77</f>
        <v>0.2857142857142857</v>
      </c>
      <c r="D78" s="32">
        <f t="shared" ref="D78:F78" si="2">D76/D77</f>
        <v>0.35294117647058826</v>
      </c>
      <c r="E78" s="21">
        <f t="shared" si="2"/>
        <v>5.5555555555555552E-2</v>
      </c>
      <c r="F78" s="21">
        <f t="shared" si="2"/>
        <v>0.11764705882352941</v>
      </c>
    </row>
    <row r="79" spans="2:7" x14ac:dyDescent="0.35">
      <c r="B79" s="18" t="s">
        <v>792</v>
      </c>
      <c r="C79" s="22">
        <f>100%-C78</f>
        <v>0.7142857142857143</v>
      </c>
      <c r="D79" s="22">
        <f t="shared" ref="D79:F79" si="3">100%-D78</f>
        <v>0.64705882352941169</v>
      </c>
      <c r="E79" s="22">
        <f t="shared" si="3"/>
        <v>0.94444444444444442</v>
      </c>
      <c r="F79" s="22">
        <f t="shared" si="3"/>
        <v>0.88235294117647056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061E9-A8D8-4B23-8988-9435D4C96263}">
  <dimension ref="A2:J89"/>
  <sheetViews>
    <sheetView showGridLines="0" workbookViewId="0">
      <selection activeCell="I26" sqref="I26"/>
    </sheetView>
  </sheetViews>
  <sheetFormatPr defaultRowHeight="14.5" x14ac:dyDescent="0.35"/>
  <cols>
    <col min="2" max="2" width="12.36328125" bestFit="1" customWidth="1"/>
    <col min="3" max="3" width="24.81640625" bestFit="1" customWidth="1"/>
  </cols>
  <sheetData>
    <row r="2" spans="1:10" ht="26" x14ac:dyDescent="0.6">
      <c r="D2" s="37" t="s">
        <v>794</v>
      </c>
      <c r="E2" s="37"/>
      <c r="F2" s="37"/>
      <c r="G2" s="37"/>
      <c r="H2" s="37"/>
      <c r="I2" s="37"/>
      <c r="J2" s="37"/>
    </row>
    <row r="15" spans="1:10" x14ac:dyDescent="0.35">
      <c r="A15" t="s">
        <v>795</v>
      </c>
    </row>
    <row r="32" spans="1:1" x14ac:dyDescent="0.35">
      <c r="A32" t="s">
        <v>796</v>
      </c>
    </row>
    <row r="48" spans="1:1" x14ac:dyDescent="0.35">
      <c r="A48" t="s">
        <v>802</v>
      </c>
    </row>
    <row r="65" spans="1:1" x14ac:dyDescent="0.35">
      <c r="A65" t="s">
        <v>803</v>
      </c>
    </row>
    <row r="89" spans="1:1" x14ac:dyDescent="0.35">
      <c r="A89" t="s">
        <v>808</v>
      </c>
    </row>
  </sheetData>
  <mergeCells count="1">
    <mergeCell ref="D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3F69-FA6F-40A5-850C-D0440716467E}">
  <dimension ref="B4:J147"/>
  <sheetViews>
    <sheetView showGridLines="0" tabSelected="1" workbookViewId="0">
      <selection activeCell="D8" sqref="D8"/>
    </sheetView>
  </sheetViews>
  <sheetFormatPr defaultRowHeight="14.5" x14ac:dyDescent="0.35"/>
  <cols>
    <col min="2" max="2" width="37.7265625" bestFit="1" customWidth="1"/>
    <col min="3" max="3" width="24.81640625" bestFit="1" customWidth="1"/>
    <col min="4" max="4" width="21.1796875" bestFit="1" customWidth="1"/>
    <col min="5" max="5" width="18.90625" bestFit="1" customWidth="1"/>
    <col min="6" max="6" width="15.54296875" bestFit="1" customWidth="1"/>
    <col min="7" max="7" width="22.7265625" bestFit="1" customWidth="1"/>
    <col min="8" max="8" width="10.7265625" bestFit="1" customWidth="1"/>
    <col min="9" max="9" width="26" bestFit="1" customWidth="1"/>
    <col min="10" max="10" width="18.90625" bestFit="1" customWidth="1"/>
  </cols>
  <sheetData>
    <row r="4" spans="2:10" x14ac:dyDescent="0.35">
      <c r="B4" s="13" t="s">
        <v>780</v>
      </c>
      <c r="C4" s="14" t="s">
        <v>782</v>
      </c>
    </row>
    <row r="5" spans="2:10" x14ac:dyDescent="0.35">
      <c r="B5" s="15" t="s">
        <v>433</v>
      </c>
      <c r="C5" s="16">
        <v>71.571428571428569</v>
      </c>
    </row>
    <row r="6" spans="2:10" x14ac:dyDescent="0.35">
      <c r="B6" s="15" t="s">
        <v>85</v>
      </c>
      <c r="C6" s="16">
        <v>76.736842105263165</v>
      </c>
    </row>
    <row r="7" spans="2:10" x14ac:dyDescent="0.35">
      <c r="B7" s="15" t="s">
        <v>169</v>
      </c>
      <c r="C7" s="16">
        <v>66.611111111111114</v>
      </c>
    </row>
    <row r="8" spans="2:10" x14ac:dyDescent="0.35">
      <c r="B8" s="15" t="s">
        <v>109</v>
      </c>
      <c r="C8" s="16">
        <v>71.82352941176471</v>
      </c>
    </row>
    <row r="9" spans="2:10" x14ac:dyDescent="0.35">
      <c r="B9" s="15" t="s">
        <v>781</v>
      </c>
      <c r="C9" s="16">
        <v>71.786885245901644</v>
      </c>
    </row>
    <row r="12" spans="2:10" x14ac:dyDescent="0.35">
      <c r="B12" s="25" t="s">
        <v>797</v>
      </c>
      <c r="C12" s="25" t="s">
        <v>798</v>
      </c>
      <c r="D12" s="25" t="s">
        <v>799</v>
      </c>
      <c r="E12" s="25" t="s">
        <v>800</v>
      </c>
      <c r="G12" s="25" t="s">
        <v>797</v>
      </c>
      <c r="H12" s="25" t="s">
        <v>798</v>
      </c>
      <c r="I12" s="25" t="s">
        <v>801</v>
      </c>
      <c r="J12" s="25" t="s">
        <v>800</v>
      </c>
    </row>
    <row r="13" spans="2:10" x14ac:dyDescent="0.35">
      <c r="B13" s="14" t="str">
        <f>'CX_Junior BI Analyst_Test'!X2</f>
        <v>Kamal</v>
      </c>
      <c r="C13" s="14" t="str">
        <f>'CX_Junior BI Analyst_Test'!N2</f>
        <v>North</v>
      </c>
      <c r="D13" s="14">
        <f>'CX_Junior BI Analyst_Test'!R2/60</f>
        <v>17</v>
      </c>
      <c r="E13" s="33">
        <f>AVERAGE('CX_Junior BI Analyst_Test'!D2:K2)</f>
        <v>57.5</v>
      </c>
      <c r="G13" s="14" t="str">
        <f>'CX_Junior BI Analyst_Test'!X29</f>
        <v>Hari</v>
      </c>
      <c r="H13" s="14" t="str">
        <f>'CX_Junior BI Analyst_Test'!N29</f>
        <v>South</v>
      </c>
      <c r="I13" s="14">
        <f>'CX_Junior BI Analyst_Test'!R29/60</f>
        <v>10</v>
      </c>
      <c r="J13" s="34">
        <f>AVERAGE('CX_Junior BI Analyst_Test'!D29:K29)</f>
        <v>65.875</v>
      </c>
    </row>
    <row r="14" spans="2:10" x14ac:dyDescent="0.35">
      <c r="B14" s="14" t="str">
        <f>'CX_Junior BI Analyst_Test'!X3</f>
        <v>Sanket Patel</v>
      </c>
      <c r="C14" s="14" t="str">
        <f>'CX_Junior BI Analyst_Test'!N3</f>
        <v>West</v>
      </c>
      <c r="D14" s="14">
        <f>'CX_Junior BI Analyst_Test'!R3/60</f>
        <v>22</v>
      </c>
      <c r="E14" s="33">
        <f>AVERAGE('CX_Junior BI Analyst_Test'!D3:K3)</f>
        <v>88.125</v>
      </c>
      <c r="G14" s="14" t="str">
        <f>'CX_Junior BI Analyst_Test'!X30</f>
        <v>Probin</v>
      </c>
      <c r="H14" s="14" t="str">
        <f>'CX_Junior BI Analyst_Test'!N30</f>
        <v>North</v>
      </c>
      <c r="I14" s="14">
        <f>'CX_Junior BI Analyst_Test'!R30/60</f>
        <v>10</v>
      </c>
      <c r="J14" s="34">
        <f>AVERAGE('CX_Junior BI Analyst_Test'!D30:K30)</f>
        <v>26.375</v>
      </c>
    </row>
    <row r="15" spans="2:10" x14ac:dyDescent="0.35">
      <c r="B15" s="14" t="str">
        <f>'CX_Junior BI Analyst_Test'!X4</f>
        <v>Mahesh</v>
      </c>
      <c r="C15" s="14" t="str">
        <f>'CX_Junior BI Analyst_Test'!N4</f>
        <v>North</v>
      </c>
      <c r="D15" s="14">
        <f>'CX_Junior BI Analyst_Test'!R4/60</f>
        <v>18</v>
      </c>
      <c r="E15" s="33">
        <f>AVERAGE('CX_Junior BI Analyst_Test'!D4:K4)</f>
        <v>74.625</v>
      </c>
      <c r="G15" s="14" t="str">
        <f>'CX_Junior BI Analyst_Test'!X62</f>
        <v>Arbaaz</v>
      </c>
      <c r="H15" s="14" t="str">
        <f>'CX_Junior BI Analyst_Test'!N62</f>
        <v>West</v>
      </c>
      <c r="I15" s="14">
        <f>'CX_Junior BI Analyst_Test'!R62/60</f>
        <v>12</v>
      </c>
      <c r="J15" s="34">
        <f>AVERAGE('CX_Junior BI Analyst_Test'!D62:K62)</f>
        <v>66.25</v>
      </c>
    </row>
    <row r="16" spans="2:10" x14ac:dyDescent="0.35">
      <c r="B16" s="14" t="str">
        <f>'CX_Junior BI Analyst_Test'!X5</f>
        <v>Sonali</v>
      </c>
      <c r="C16" s="14" t="str">
        <f>'CX_Junior BI Analyst_Test'!N5</f>
        <v>North</v>
      </c>
      <c r="D16" s="14">
        <f>'CX_Junior BI Analyst_Test'!R5/60</f>
        <v>31</v>
      </c>
      <c r="E16" s="33">
        <f>AVERAGE('CX_Junior BI Analyst_Test'!D5:K5)</f>
        <v>87.5</v>
      </c>
      <c r="G16" s="14" t="str">
        <f>'CX_Junior BI Analyst_Test'!X8</f>
        <v>Mohsin</v>
      </c>
      <c r="H16" s="14" t="str">
        <f>'CX_Junior BI Analyst_Test'!N8</f>
        <v>West</v>
      </c>
      <c r="I16" s="14">
        <f>'CX_Junior BI Analyst_Test'!R8/60</f>
        <v>15</v>
      </c>
      <c r="J16" s="34">
        <f>AVERAGE('CX_Junior BI Analyst_Test'!D8:K8)</f>
        <v>24.125</v>
      </c>
    </row>
    <row r="17" spans="2:10" x14ac:dyDescent="0.35">
      <c r="B17" s="14" t="str">
        <f>'CX_Junior BI Analyst_Test'!X6</f>
        <v>Jateen</v>
      </c>
      <c r="C17" s="14" t="str">
        <f>'CX_Junior BI Analyst_Test'!N6</f>
        <v>North</v>
      </c>
      <c r="D17" s="14">
        <f>'CX_Junior BI Analyst_Test'!R6/60</f>
        <v>35</v>
      </c>
      <c r="E17" s="33">
        <f>AVERAGE('CX_Junior BI Analyst_Test'!D6:K6)</f>
        <v>87.5</v>
      </c>
      <c r="G17" s="14" t="str">
        <f>'CX_Junior BI Analyst_Test'!X9</f>
        <v>Keneth</v>
      </c>
      <c r="H17" s="14" t="str">
        <f>'CX_Junior BI Analyst_Test'!N9</f>
        <v>West</v>
      </c>
      <c r="I17" s="14">
        <f>'CX_Junior BI Analyst_Test'!R9/60</f>
        <v>15</v>
      </c>
      <c r="J17" s="34">
        <f>AVERAGE('CX_Junior BI Analyst_Test'!D9:K9)</f>
        <v>28</v>
      </c>
    </row>
    <row r="18" spans="2:10" x14ac:dyDescent="0.35">
      <c r="B18" s="14" t="str">
        <f>'CX_Junior BI Analyst_Test'!X7</f>
        <v>Rizwan</v>
      </c>
      <c r="C18" s="14" t="str">
        <f>'CX_Junior BI Analyst_Test'!N7</f>
        <v>South</v>
      </c>
      <c r="D18" s="14">
        <f>'CX_Junior BI Analyst_Test'!R7/60</f>
        <v>16</v>
      </c>
      <c r="E18" s="33">
        <f>AVERAGE('CX_Junior BI Analyst_Test'!D7:K7)</f>
        <v>91.75</v>
      </c>
      <c r="G18" s="14" t="str">
        <f>'CX_Junior BI Analyst_Test'!X10</f>
        <v>Rakesh</v>
      </c>
      <c r="H18" s="14" t="str">
        <f>'CX_Junior BI Analyst_Test'!N10</f>
        <v>West</v>
      </c>
      <c r="I18" s="14">
        <f>'CX_Junior BI Analyst_Test'!R10/60</f>
        <v>15</v>
      </c>
      <c r="J18" s="34">
        <f>AVERAGE('CX_Junior BI Analyst_Test'!D10:K10)</f>
        <v>76</v>
      </c>
    </row>
    <row r="19" spans="2:10" x14ac:dyDescent="0.35">
      <c r="B19" s="14" t="str">
        <f>'CX_Junior BI Analyst_Test'!X8</f>
        <v>Mohsin</v>
      </c>
      <c r="C19" s="14" t="str">
        <f>'CX_Junior BI Analyst_Test'!N8</f>
        <v>West</v>
      </c>
      <c r="D19" s="14">
        <f>'CX_Junior BI Analyst_Test'!R8/60</f>
        <v>15</v>
      </c>
      <c r="E19" s="33">
        <f>AVERAGE('CX_Junior BI Analyst_Test'!D8:K8)</f>
        <v>24.125</v>
      </c>
      <c r="G19" s="14" t="str">
        <f>'CX_Junior BI Analyst_Test'!X11</f>
        <v>Rashid</v>
      </c>
      <c r="H19" s="14" t="str">
        <f>'CX_Junior BI Analyst_Test'!N11</f>
        <v>West</v>
      </c>
      <c r="I19" s="14">
        <f>'CX_Junior BI Analyst_Test'!R11/60</f>
        <v>15</v>
      </c>
      <c r="J19" s="34">
        <f>AVERAGE('CX_Junior BI Analyst_Test'!D11:K11)</f>
        <v>76</v>
      </c>
    </row>
    <row r="20" spans="2:10" x14ac:dyDescent="0.35">
      <c r="B20" s="14" t="str">
        <f>'CX_Junior BI Analyst_Test'!X9</f>
        <v>Keneth</v>
      </c>
      <c r="C20" s="14" t="str">
        <f>'CX_Junior BI Analyst_Test'!N9</f>
        <v>West</v>
      </c>
      <c r="D20" s="14">
        <f>'CX_Junior BI Analyst_Test'!R9/60</f>
        <v>15</v>
      </c>
      <c r="E20" s="33">
        <f>AVERAGE('CX_Junior BI Analyst_Test'!D9:K9)</f>
        <v>28</v>
      </c>
      <c r="G20" s="14" t="str">
        <f>'CX_Junior BI Analyst_Test'!X13</f>
        <v>Kiran</v>
      </c>
      <c r="H20" s="14" t="str">
        <f>'CX_Junior BI Analyst_Test'!N13</f>
        <v>West</v>
      </c>
      <c r="I20" s="14">
        <f>'CX_Junior BI Analyst_Test'!R13/60</f>
        <v>15</v>
      </c>
      <c r="J20" s="34">
        <f>AVERAGE('CX_Junior BI Analyst_Test'!D13:K13)</f>
        <v>76.75</v>
      </c>
    </row>
    <row r="21" spans="2:10" x14ac:dyDescent="0.35">
      <c r="B21" s="14" t="str">
        <f>'CX_Junior BI Analyst_Test'!X10</f>
        <v>Rakesh</v>
      </c>
      <c r="C21" s="14" t="str">
        <f>'CX_Junior BI Analyst_Test'!N10</f>
        <v>West</v>
      </c>
      <c r="D21" s="14">
        <f>'CX_Junior BI Analyst_Test'!R10/60</f>
        <v>15</v>
      </c>
      <c r="E21" s="33">
        <f>AVERAGE('CX_Junior BI Analyst_Test'!D10:K10)</f>
        <v>76</v>
      </c>
      <c r="G21" s="14" t="str">
        <f>'CX_Junior BI Analyst_Test'!X7</f>
        <v>Rizwan</v>
      </c>
      <c r="H21" s="14" t="str">
        <f>'CX_Junior BI Analyst_Test'!N7</f>
        <v>South</v>
      </c>
      <c r="I21" s="14">
        <f>'CX_Junior BI Analyst_Test'!R7/60</f>
        <v>16</v>
      </c>
      <c r="J21" s="34">
        <f>AVERAGE('CX_Junior BI Analyst_Test'!D7:K7)</f>
        <v>91.75</v>
      </c>
    </row>
    <row r="22" spans="2:10" x14ac:dyDescent="0.35">
      <c r="B22" s="14" t="str">
        <f>'CX_Junior BI Analyst_Test'!X11</f>
        <v>Rashid</v>
      </c>
      <c r="C22" s="14" t="str">
        <f>'CX_Junior BI Analyst_Test'!N11</f>
        <v>West</v>
      </c>
      <c r="D22" s="14">
        <f>'CX_Junior BI Analyst_Test'!R11/60</f>
        <v>15</v>
      </c>
      <c r="E22" s="33">
        <f>AVERAGE('CX_Junior BI Analyst_Test'!D11:K11)</f>
        <v>76</v>
      </c>
      <c r="G22" s="14" t="str">
        <f>'CX_Junior BI Analyst_Test'!X25</f>
        <v>Ajeet</v>
      </c>
      <c r="H22" s="14" t="str">
        <f>'CX_Junior BI Analyst_Test'!N25</f>
        <v>North</v>
      </c>
      <c r="I22" s="14">
        <f>'CX_Junior BI Analyst_Test'!R25/60</f>
        <v>16</v>
      </c>
      <c r="J22" s="34">
        <f>AVERAGE('CX_Junior BI Analyst_Test'!D25:K25)</f>
        <v>64.25</v>
      </c>
    </row>
    <row r="23" spans="2:10" x14ac:dyDescent="0.35">
      <c r="B23" s="14" t="str">
        <f>'CX_Junior BI Analyst_Test'!X12</f>
        <v>Gaurav</v>
      </c>
      <c r="C23" s="14" t="str">
        <f>'CX_Junior BI Analyst_Test'!N12</f>
        <v>West</v>
      </c>
      <c r="D23" s="14">
        <f>'CX_Junior BI Analyst_Test'!R12/60</f>
        <v>26</v>
      </c>
      <c r="E23" s="33">
        <f>AVERAGE('CX_Junior BI Analyst_Test'!D12:K12)</f>
        <v>90.125</v>
      </c>
      <c r="G23" s="14" t="str">
        <f>'CX_Junior BI Analyst_Test'!X2</f>
        <v>Kamal</v>
      </c>
      <c r="H23" s="14" t="str">
        <f>'CX_Junior BI Analyst_Test'!N2</f>
        <v>North</v>
      </c>
      <c r="I23" s="14">
        <f>'CX_Junior BI Analyst_Test'!R2/60</f>
        <v>17</v>
      </c>
      <c r="J23" s="34">
        <f>AVERAGE('CX_Junior BI Analyst_Test'!D2:K2)</f>
        <v>57.5</v>
      </c>
    </row>
    <row r="24" spans="2:10" x14ac:dyDescent="0.35">
      <c r="B24" s="14" t="str">
        <f>'CX_Junior BI Analyst_Test'!X13</f>
        <v>Kiran</v>
      </c>
      <c r="C24" s="14" t="str">
        <f>'CX_Junior BI Analyst_Test'!N13</f>
        <v>West</v>
      </c>
      <c r="D24" s="14">
        <f>'CX_Junior BI Analyst_Test'!R13/60</f>
        <v>15</v>
      </c>
      <c r="E24" s="33">
        <f>AVERAGE('CX_Junior BI Analyst_Test'!D13:K13)</f>
        <v>76.75</v>
      </c>
      <c r="G24" s="14" t="str">
        <f>'CX_Junior BI Analyst_Test'!X24</f>
        <v>Neeraj</v>
      </c>
      <c r="H24" s="14" t="str">
        <f>'CX_Junior BI Analyst_Test'!N24</f>
        <v>North</v>
      </c>
      <c r="I24" s="14">
        <f>'CX_Junior BI Analyst_Test'!R24/60</f>
        <v>17</v>
      </c>
      <c r="J24" s="34">
        <f>AVERAGE('CX_Junior BI Analyst_Test'!D24:K24)</f>
        <v>64.375</v>
      </c>
    </row>
    <row r="25" spans="2:10" x14ac:dyDescent="0.35">
      <c r="B25" s="14" t="str">
        <f>'CX_Junior BI Analyst_Test'!X14</f>
        <v>Sanit Saji</v>
      </c>
      <c r="C25" s="14" t="str">
        <f>'CX_Junior BI Analyst_Test'!N14</f>
        <v>South</v>
      </c>
      <c r="D25" s="14">
        <f>'CX_Junior BI Analyst_Test'!R14/60</f>
        <v>25</v>
      </c>
      <c r="E25" s="33">
        <f>AVERAGE('CX_Junior BI Analyst_Test'!D14:K14)</f>
        <v>86.375</v>
      </c>
      <c r="G25" s="14" t="str">
        <f>'CX_Junior BI Analyst_Test'!X4</f>
        <v>Mahesh</v>
      </c>
      <c r="H25" s="14" t="str">
        <f>'CX_Junior BI Analyst_Test'!N4</f>
        <v>North</v>
      </c>
      <c r="I25" s="14">
        <f>'CX_Junior BI Analyst_Test'!R4/60</f>
        <v>18</v>
      </c>
      <c r="J25" s="34">
        <f>AVERAGE('CX_Junior BI Analyst_Test'!D4:K4)</f>
        <v>74.625</v>
      </c>
    </row>
    <row r="26" spans="2:10" x14ac:dyDescent="0.35">
      <c r="B26" s="14" t="str">
        <f>'CX_Junior BI Analyst_Test'!X15</f>
        <v>Asif</v>
      </c>
      <c r="C26" s="14" t="str">
        <f>'CX_Junior BI Analyst_Test'!N15</f>
        <v>South</v>
      </c>
      <c r="D26" s="14">
        <f>'CX_Junior BI Analyst_Test'!R15/60</f>
        <v>34</v>
      </c>
      <c r="E26" s="33">
        <f>AVERAGE('CX_Junior BI Analyst_Test'!D15:K15)</f>
        <v>81.75</v>
      </c>
      <c r="G26" s="14" t="str">
        <f>'CX_Junior BI Analyst_Test'!X49</f>
        <v>Rahul</v>
      </c>
      <c r="H26" s="14" t="str">
        <f>'CX_Junior BI Analyst_Test'!N49</f>
        <v>North</v>
      </c>
      <c r="I26" s="14">
        <f>'CX_Junior BI Analyst_Test'!R49/60</f>
        <v>19</v>
      </c>
      <c r="J26" s="34">
        <f>AVERAGE('CX_Junior BI Analyst_Test'!D49:K49)</f>
        <v>66.875</v>
      </c>
    </row>
    <row r="27" spans="2:10" x14ac:dyDescent="0.35">
      <c r="B27" s="14" t="str">
        <f>'CX_Junior BI Analyst_Test'!X16</f>
        <v>Yasin Kaif</v>
      </c>
      <c r="C27" s="14" t="str">
        <f>'CX_Junior BI Analyst_Test'!N16</f>
        <v>West</v>
      </c>
      <c r="D27" s="14">
        <f>'CX_Junior BI Analyst_Test'!R16/60</f>
        <v>28</v>
      </c>
      <c r="E27" s="33">
        <f>AVERAGE('CX_Junior BI Analyst_Test'!D16:K16)</f>
        <v>66.375</v>
      </c>
      <c r="G27" s="14" t="str">
        <f>'CX_Junior BI Analyst_Test'!X26</f>
        <v>Deepak</v>
      </c>
      <c r="H27" s="14" t="str">
        <f>'CX_Junior BI Analyst_Test'!N26</f>
        <v>North</v>
      </c>
      <c r="I27" s="14">
        <f>'CX_Junior BI Analyst_Test'!R26/60</f>
        <v>20</v>
      </c>
      <c r="J27" s="34">
        <f>AVERAGE('CX_Junior BI Analyst_Test'!D26:K26)</f>
        <v>81.75</v>
      </c>
    </row>
    <row r="28" spans="2:10" x14ac:dyDescent="0.35">
      <c r="B28" s="14" t="str">
        <f>'CX_Junior BI Analyst_Test'!X17</f>
        <v>Bablu</v>
      </c>
      <c r="C28" s="14" t="str">
        <f>'CX_Junior BI Analyst_Test'!N17</f>
        <v>West</v>
      </c>
      <c r="D28" s="14">
        <f>'CX_Junior BI Analyst_Test'!R17/60</f>
        <v>38</v>
      </c>
      <c r="E28" s="33">
        <f>AVERAGE('CX_Junior BI Analyst_Test'!D17:K17)</f>
        <v>78</v>
      </c>
      <c r="G28" s="14" t="str">
        <f>'CX_Junior BI Analyst_Test'!X50</f>
        <v>Nitesh</v>
      </c>
      <c r="H28" s="14" t="str">
        <f>'CX_Junior BI Analyst_Test'!N50</f>
        <v>North</v>
      </c>
      <c r="I28" s="14">
        <f>'CX_Junior BI Analyst_Test'!R50/60</f>
        <v>20</v>
      </c>
      <c r="J28" s="34">
        <f>AVERAGE('CX_Junior BI Analyst_Test'!D50:K50)</f>
        <v>66.625</v>
      </c>
    </row>
    <row r="29" spans="2:10" x14ac:dyDescent="0.35">
      <c r="B29" s="14" t="str">
        <f>'CX_Junior BI Analyst_Test'!X18</f>
        <v>Nagraj</v>
      </c>
      <c r="C29" s="14" t="str">
        <f>'CX_Junior BI Analyst_Test'!N18</f>
        <v>West</v>
      </c>
      <c r="D29" s="14">
        <f>'CX_Junior BI Analyst_Test'!R18/60</f>
        <v>40</v>
      </c>
      <c r="E29" s="33">
        <f>AVERAGE('CX_Junior BI Analyst_Test'!D18:K18)</f>
        <v>88.375</v>
      </c>
      <c r="G29" s="14" t="str">
        <f>'CX_Junior BI Analyst_Test'!X21</f>
        <v>Kamal</v>
      </c>
      <c r="H29" s="14" t="str">
        <f>'CX_Junior BI Analyst_Test'!N21</f>
        <v>North</v>
      </c>
      <c r="I29" s="14">
        <f>'CX_Junior BI Analyst_Test'!R21/60</f>
        <v>21</v>
      </c>
      <c r="J29" s="34">
        <f>AVERAGE('CX_Junior BI Analyst_Test'!D21:K21)</f>
        <v>84</v>
      </c>
    </row>
    <row r="30" spans="2:10" x14ac:dyDescent="0.35">
      <c r="B30" s="14" t="str">
        <f>'CX_Junior BI Analyst_Test'!X19</f>
        <v>Ashish</v>
      </c>
      <c r="C30" s="14" t="str">
        <f>'CX_Junior BI Analyst_Test'!N19</f>
        <v>South</v>
      </c>
      <c r="D30" s="14">
        <f>'CX_Junior BI Analyst_Test'!R19/60</f>
        <v>25</v>
      </c>
      <c r="E30" s="33">
        <f>AVERAGE('CX_Junior BI Analyst_Test'!D19:K19)</f>
        <v>66.125</v>
      </c>
      <c r="G30" s="14" t="str">
        <f>'CX_Junior BI Analyst_Test'!X34</f>
        <v>Santosh</v>
      </c>
      <c r="H30" s="14" t="str">
        <f>'CX_Junior BI Analyst_Test'!N34</f>
        <v>South</v>
      </c>
      <c r="I30" s="14">
        <f>'CX_Junior BI Analyst_Test'!R34/60</f>
        <v>21</v>
      </c>
      <c r="J30" s="34">
        <f>AVERAGE('CX_Junior BI Analyst_Test'!D34:K34)</f>
        <v>95.5</v>
      </c>
    </row>
    <row r="31" spans="2:10" x14ac:dyDescent="0.35">
      <c r="B31" s="14" t="str">
        <f>'CX_Junior BI Analyst_Test'!X20</f>
        <v>Sunil</v>
      </c>
      <c r="C31" s="14" t="str">
        <f>'CX_Junior BI Analyst_Test'!N20</f>
        <v>North</v>
      </c>
      <c r="D31" s="14">
        <f>'CX_Junior BI Analyst_Test'!R20/60</f>
        <v>25</v>
      </c>
      <c r="E31" s="33">
        <f>AVERAGE('CX_Junior BI Analyst_Test'!D20:K20)</f>
        <v>68.25</v>
      </c>
      <c r="G31" s="14" t="str">
        <f>'CX_Junior BI Analyst_Test'!X58</f>
        <v>Senthil Kumar</v>
      </c>
      <c r="H31" s="14" t="str">
        <f>'CX_Junior BI Analyst_Test'!N58</f>
        <v>South</v>
      </c>
      <c r="I31" s="14">
        <f>'CX_Junior BI Analyst_Test'!R58/60</f>
        <v>21</v>
      </c>
      <c r="J31" s="34">
        <f>AVERAGE('CX_Junior BI Analyst_Test'!D58:K58)</f>
        <v>90.125</v>
      </c>
    </row>
    <row r="32" spans="2:10" x14ac:dyDescent="0.35">
      <c r="B32" s="14" t="str">
        <f>'CX_Junior BI Analyst_Test'!X21</f>
        <v>Kamal</v>
      </c>
      <c r="C32" s="14" t="str">
        <f>'CX_Junior BI Analyst_Test'!N21</f>
        <v>North</v>
      </c>
      <c r="D32" s="14">
        <f>'CX_Junior BI Analyst_Test'!R21/60</f>
        <v>21</v>
      </c>
      <c r="E32" s="33">
        <f>AVERAGE('CX_Junior BI Analyst_Test'!D21:K21)</f>
        <v>84</v>
      </c>
      <c r="G32" s="14" t="str">
        <f>'CX_Junior BI Analyst_Test'!X3</f>
        <v>Sanket Patel</v>
      </c>
      <c r="H32" s="14" t="str">
        <f>'CX_Junior BI Analyst_Test'!N3</f>
        <v>West</v>
      </c>
      <c r="I32" s="14">
        <f>'CX_Junior BI Analyst_Test'!R3/60</f>
        <v>22</v>
      </c>
      <c r="J32" s="34">
        <f>AVERAGE('CX_Junior BI Analyst_Test'!D3:K3)</f>
        <v>88.125</v>
      </c>
    </row>
    <row r="33" spans="2:10" x14ac:dyDescent="0.35">
      <c r="B33" s="14" t="str">
        <f>'CX_Junior BI Analyst_Test'!X22</f>
        <v>Neeraj</v>
      </c>
      <c r="C33" s="14" t="str">
        <f>'CX_Junior BI Analyst_Test'!N22</f>
        <v>North</v>
      </c>
      <c r="D33" s="14">
        <f>'CX_Junior BI Analyst_Test'!R22/60</f>
        <v>25</v>
      </c>
      <c r="E33" s="33">
        <f>AVERAGE('CX_Junior BI Analyst_Test'!D22:K22)</f>
        <v>90.375</v>
      </c>
      <c r="G33" s="14" t="str">
        <f>'CX_Junior BI Analyst_Test'!X41</f>
        <v>Fariz</v>
      </c>
      <c r="H33" s="14" t="str">
        <f>'CX_Junior BI Analyst_Test'!N41</f>
        <v>North</v>
      </c>
      <c r="I33" s="14">
        <f>'CX_Junior BI Analyst_Test'!R41/60</f>
        <v>22</v>
      </c>
      <c r="J33" s="34">
        <f>AVERAGE('CX_Junior BI Analyst_Test'!D41:K41)</f>
        <v>100</v>
      </c>
    </row>
    <row r="34" spans="2:10" x14ac:dyDescent="0.35">
      <c r="B34" s="14" t="str">
        <f>'CX_Junior BI Analyst_Test'!X23</f>
        <v>Sanjeev</v>
      </c>
      <c r="C34" s="14" t="str">
        <f>'CX_Junior BI Analyst_Test'!N23</f>
        <v>North</v>
      </c>
      <c r="D34" s="14">
        <f>'CX_Junior BI Analyst_Test'!R23/60</f>
        <v>28</v>
      </c>
      <c r="E34" s="33">
        <f>AVERAGE('CX_Junior BI Analyst_Test'!D23:K23)</f>
        <v>67.75</v>
      </c>
      <c r="G34" s="14" t="str">
        <f>'CX_Junior BI Analyst_Test'!X54</f>
        <v>Vijay K</v>
      </c>
      <c r="H34" s="14" t="str">
        <f>'CX_Junior BI Analyst_Test'!N54</f>
        <v>West</v>
      </c>
      <c r="I34" s="14">
        <f>'CX_Junior BI Analyst_Test'!R54/60</f>
        <v>22</v>
      </c>
      <c r="J34" s="34">
        <f>AVERAGE('CX_Junior BI Analyst_Test'!D54:K54)</f>
        <v>28.25</v>
      </c>
    </row>
    <row r="35" spans="2:10" x14ac:dyDescent="0.35">
      <c r="B35" s="14" t="str">
        <f>'CX_Junior BI Analyst_Test'!X24</f>
        <v>Neeraj</v>
      </c>
      <c r="C35" s="14" t="str">
        <f>'CX_Junior BI Analyst_Test'!N24</f>
        <v>North</v>
      </c>
      <c r="D35" s="14">
        <f>'CX_Junior BI Analyst_Test'!R24/60</f>
        <v>17</v>
      </c>
      <c r="E35" s="33">
        <f>AVERAGE('CX_Junior BI Analyst_Test'!D24:K24)</f>
        <v>64.375</v>
      </c>
      <c r="G35" s="14" t="str">
        <f>'CX_Junior BI Analyst_Test'!X44</f>
        <v>Sanjit</v>
      </c>
      <c r="H35" s="14" t="str">
        <f>'CX_Junior BI Analyst_Test'!N44</f>
        <v>East</v>
      </c>
      <c r="I35" s="14">
        <f>'CX_Junior BI Analyst_Test'!R44/60</f>
        <v>23</v>
      </c>
      <c r="J35" s="34">
        <f>AVERAGE('CX_Junior BI Analyst_Test'!D44:K44)</f>
        <v>53.75</v>
      </c>
    </row>
    <row r="36" spans="2:10" x14ac:dyDescent="0.35">
      <c r="B36" s="14" t="str">
        <f>'CX_Junior BI Analyst_Test'!X25</f>
        <v>Ajeet</v>
      </c>
      <c r="C36" s="14" t="str">
        <f>'CX_Junior BI Analyst_Test'!N25</f>
        <v>North</v>
      </c>
      <c r="D36" s="14">
        <f>'CX_Junior BI Analyst_Test'!R25/60</f>
        <v>16</v>
      </c>
      <c r="E36" s="33">
        <f>AVERAGE('CX_Junior BI Analyst_Test'!D25:K25)</f>
        <v>64.25</v>
      </c>
      <c r="G36" s="14" t="str">
        <f>'CX_Junior BI Analyst_Test'!X56</f>
        <v>Varinder</v>
      </c>
      <c r="H36" s="14" t="str">
        <f>'CX_Junior BI Analyst_Test'!N56</f>
        <v>North</v>
      </c>
      <c r="I36" s="14">
        <f>'CX_Junior BI Analyst_Test'!R56/60</f>
        <v>23</v>
      </c>
      <c r="J36" s="34">
        <f>AVERAGE('CX_Junior BI Analyst_Test'!D56:K56)</f>
        <v>94.75</v>
      </c>
    </row>
    <row r="37" spans="2:10" x14ac:dyDescent="0.35">
      <c r="B37" s="14" t="str">
        <f>'CX_Junior BI Analyst_Test'!X26</f>
        <v>Deepak</v>
      </c>
      <c r="C37" s="14" t="str">
        <f>'CX_Junior BI Analyst_Test'!N26</f>
        <v>North</v>
      </c>
      <c r="D37" s="14">
        <f>'CX_Junior BI Analyst_Test'!R26/60</f>
        <v>20</v>
      </c>
      <c r="E37" s="33">
        <f>AVERAGE('CX_Junior BI Analyst_Test'!D26:K26)</f>
        <v>81.75</v>
      </c>
      <c r="G37" s="14" t="str">
        <f>'CX_Junior BI Analyst_Test'!X31</f>
        <v>Raj Roushan</v>
      </c>
      <c r="H37" s="14" t="str">
        <f>'CX_Junior BI Analyst_Test'!N31</f>
        <v>East</v>
      </c>
      <c r="I37" s="14">
        <f>'CX_Junior BI Analyst_Test'!R31/60</f>
        <v>24</v>
      </c>
      <c r="J37" s="34">
        <f>AVERAGE('CX_Junior BI Analyst_Test'!D31:K31)</f>
        <v>56.625</v>
      </c>
    </row>
    <row r="38" spans="2:10" x14ac:dyDescent="0.35">
      <c r="B38" s="14" t="str">
        <f>'CX_Junior BI Analyst_Test'!X27</f>
        <v>Rajiv</v>
      </c>
      <c r="C38" s="14" t="str">
        <f>'CX_Junior BI Analyst_Test'!N27</f>
        <v>South</v>
      </c>
      <c r="D38" s="14">
        <f>'CX_Junior BI Analyst_Test'!R27/60</f>
        <v>32</v>
      </c>
      <c r="E38" s="33">
        <f>AVERAGE('CX_Junior BI Analyst_Test'!D27:K27)</f>
        <v>81.75</v>
      </c>
      <c r="G38" s="14" t="str">
        <f>'CX_Junior BI Analyst_Test'!X42</f>
        <v>Abhay</v>
      </c>
      <c r="H38" s="14" t="str">
        <f>'CX_Junior BI Analyst_Test'!N42</f>
        <v>North</v>
      </c>
      <c r="I38" s="14">
        <f>'CX_Junior BI Analyst_Test'!R42/60</f>
        <v>24</v>
      </c>
      <c r="J38" s="34">
        <f>AVERAGE('CX_Junior BI Analyst_Test'!D42:K42)</f>
        <v>95.875</v>
      </c>
    </row>
    <row r="39" spans="2:10" x14ac:dyDescent="0.35">
      <c r="B39" s="14" t="str">
        <f>'CX_Junior BI Analyst_Test'!X28</f>
        <v>Satyam</v>
      </c>
      <c r="C39" s="14" t="str">
        <f>'CX_Junior BI Analyst_Test'!N28</f>
        <v>West</v>
      </c>
      <c r="D39" s="14">
        <f>'CX_Junior BI Analyst_Test'!R28/60</f>
        <v>25</v>
      </c>
      <c r="E39" s="33">
        <f>AVERAGE('CX_Junior BI Analyst_Test'!D28:K28)</f>
        <v>94.125</v>
      </c>
      <c r="G39" s="14" t="str">
        <f>'CX_Junior BI Analyst_Test'!X46</f>
        <v>Yogesh</v>
      </c>
      <c r="H39" s="14" t="str">
        <f>'CX_Junior BI Analyst_Test'!N46</f>
        <v>West</v>
      </c>
      <c r="I39" s="14">
        <f>'CX_Junior BI Analyst_Test'!R46/60</f>
        <v>24</v>
      </c>
      <c r="J39" s="34">
        <f>AVERAGE('CX_Junior BI Analyst_Test'!D46:K46)</f>
        <v>88.125</v>
      </c>
    </row>
    <row r="40" spans="2:10" x14ac:dyDescent="0.35">
      <c r="B40" s="14" t="str">
        <f>'CX_Junior BI Analyst_Test'!X29</f>
        <v>Hari</v>
      </c>
      <c r="C40" s="14" t="str">
        <f>'CX_Junior BI Analyst_Test'!N29</f>
        <v>South</v>
      </c>
      <c r="D40" s="14">
        <f>'CX_Junior BI Analyst_Test'!R29/60</f>
        <v>10</v>
      </c>
      <c r="E40" s="33">
        <f>AVERAGE('CX_Junior BI Analyst_Test'!D29:K29)</f>
        <v>65.875</v>
      </c>
      <c r="G40" s="14" t="str">
        <f>'CX_Junior BI Analyst_Test'!X14</f>
        <v>Sanit Saji</v>
      </c>
      <c r="H40" s="14" t="str">
        <f>'CX_Junior BI Analyst_Test'!N14</f>
        <v>South</v>
      </c>
      <c r="I40" s="14">
        <f>'CX_Junior BI Analyst_Test'!R14/60</f>
        <v>25</v>
      </c>
      <c r="J40" s="34">
        <f>AVERAGE('CX_Junior BI Analyst_Test'!D14:K14)</f>
        <v>86.375</v>
      </c>
    </row>
    <row r="41" spans="2:10" x14ac:dyDescent="0.35">
      <c r="B41" s="14" t="str">
        <f>'CX_Junior BI Analyst_Test'!X30</f>
        <v>Probin</v>
      </c>
      <c r="C41" s="14" t="str">
        <f>'CX_Junior BI Analyst_Test'!N30</f>
        <v>North</v>
      </c>
      <c r="D41" s="14">
        <f>'CX_Junior BI Analyst_Test'!R30/60</f>
        <v>10</v>
      </c>
      <c r="E41" s="33">
        <f>AVERAGE('CX_Junior BI Analyst_Test'!D30:K30)</f>
        <v>26.375</v>
      </c>
      <c r="G41" s="14" t="str">
        <f>'CX_Junior BI Analyst_Test'!X19</f>
        <v>Ashish</v>
      </c>
      <c r="H41" s="14" t="str">
        <f>'CX_Junior BI Analyst_Test'!N19</f>
        <v>South</v>
      </c>
      <c r="I41" s="14">
        <f>'CX_Junior BI Analyst_Test'!R19/60</f>
        <v>25</v>
      </c>
      <c r="J41" s="34">
        <f>AVERAGE('CX_Junior BI Analyst_Test'!D19:K19)</f>
        <v>66.125</v>
      </c>
    </row>
    <row r="42" spans="2:10" x14ac:dyDescent="0.35">
      <c r="B42" s="14" t="str">
        <f>'CX_Junior BI Analyst_Test'!X31</f>
        <v>Raj Roushan</v>
      </c>
      <c r="C42" s="14" t="str">
        <f>'CX_Junior BI Analyst_Test'!N31</f>
        <v>East</v>
      </c>
      <c r="D42" s="14">
        <f>'CX_Junior BI Analyst_Test'!R31/60</f>
        <v>24</v>
      </c>
      <c r="E42" s="33">
        <f>AVERAGE('CX_Junior BI Analyst_Test'!D31:K31)</f>
        <v>56.625</v>
      </c>
      <c r="G42" s="14" t="str">
        <f>'CX_Junior BI Analyst_Test'!X20</f>
        <v>Sunil</v>
      </c>
      <c r="H42" s="14" t="str">
        <f>'CX_Junior BI Analyst_Test'!N20</f>
        <v>North</v>
      </c>
      <c r="I42" s="14">
        <f>'CX_Junior BI Analyst_Test'!R20/60</f>
        <v>25</v>
      </c>
      <c r="J42" s="34">
        <f>AVERAGE('CX_Junior BI Analyst_Test'!D20:K20)</f>
        <v>68.25</v>
      </c>
    </row>
    <row r="43" spans="2:10" x14ac:dyDescent="0.35">
      <c r="B43" s="14" t="str">
        <f>'CX_Junior BI Analyst_Test'!X32</f>
        <v>Lukman</v>
      </c>
      <c r="C43" s="14" t="str">
        <f>'CX_Junior BI Analyst_Test'!N32</f>
        <v>South</v>
      </c>
      <c r="D43" s="14">
        <f>'CX_Junior BI Analyst_Test'!R32/60</f>
        <v>35</v>
      </c>
      <c r="E43" s="33">
        <f>AVERAGE('CX_Junior BI Analyst_Test'!D32:K32)</f>
        <v>75.625</v>
      </c>
      <c r="G43" s="14" t="str">
        <f>'CX_Junior BI Analyst_Test'!X22</f>
        <v>Neeraj</v>
      </c>
      <c r="H43" s="14" t="str">
        <f>'CX_Junior BI Analyst_Test'!N22</f>
        <v>North</v>
      </c>
      <c r="I43" s="14">
        <f>'CX_Junior BI Analyst_Test'!R22/60</f>
        <v>25</v>
      </c>
      <c r="J43" s="34">
        <f>AVERAGE('CX_Junior BI Analyst_Test'!D22:K22)</f>
        <v>90.375</v>
      </c>
    </row>
    <row r="44" spans="2:10" x14ac:dyDescent="0.35">
      <c r="B44" s="14" t="str">
        <f>'CX_Junior BI Analyst_Test'!X33</f>
        <v>Rohit</v>
      </c>
      <c r="C44" s="14" t="str">
        <f>'CX_Junior BI Analyst_Test'!N33</f>
        <v>East</v>
      </c>
      <c r="D44" s="14">
        <f>'CX_Junior BI Analyst_Test'!R33/60</f>
        <v>25</v>
      </c>
      <c r="E44" s="33">
        <f>AVERAGE('CX_Junior BI Analyst_Test'!D33:K33)</f>
        <v>87.75</v>
      </c>
      <c r="G44" s="14" t="str">
        <f>'CX_Junior BI Analyst_Test'!X28</f>
        <v>Satyam</v>
      </c>
      <c r="H44" s="14" t="str">
        <f>'CX_Junior BI Analyst_Test'!N28</f>
        <v>West</v>
      </c>
      <c r="I44" s="14">
        <f>'CX_Junior BI Analyst_Test'!R28/60</f>
        <v>25</v>
      </c>
      <c r="J44" s="34">
        <f>AVERAGE('CX_Junior BI Analyst_Test'!D28:K28)</f>
        <v>94.125</v>
      </c>
    </row>
    <row r="45" spans="2:10" x14ac:dyDescent="0.35">
      <c r="B45" s="14" t="str">
        <f>'CX_Junior BI Analyst_Test'!X34</f>
        <v>Santosh</v>
      </c>
      <c r="C45" s="14" t="str">
        <f>'CX_Junior BI Analyst_Test'!N34</f>
        <v>South</v>
      </c>
      <c r="D45" s="14">
        <f>'CX_Junior BI Analyst_Test'!R34/60</f>
        <v>21</v>
      </c>
      <c r="E45" s="33">
        <f>AVERAGE('CX_Junior BI Analyst_Test'!D34:K34)</f>
        <v>95.5</v>
      </c>
      <c r="G45" s="14" t="str">
        <f>'CX_Junior BI Analyst_Test'!X33</f>
        <v>Rohit</v>
      </c>
      <c r="H45" s="14" t="str">
        <f>'CX_Junior BI Analyst_Test'!N33</f>
        <v>East</v>
      </c>
      <c r="I45" s="14">
        <f>'CX_Junior BI Analyst_Test'!R33/60</f>
        <v>25</v>
      </c>
      <c r="J45" s="34">
        <f>AVERAGE('CX_Junior BI Analyst_Test'!D33:K33)</f>
        <v>87.75</v>
      </c>
    </row>
    <row r="46" spans="2:10" x14ac:dyDescent="0.35">
      <c r="B46" s="14" t="str">
        <f>'CX_Junior BI Analyst_Test'!X35</f>
        <v>Samir Pathan</v>
      </c>
      <c r="C46" s="14" t="str">
        <f>'CX_Junior BI Analyst_Test'!N35</f>
        <v>West</v>
      </c>
      <c r="D46" s="14">
        <f>'CX_Junior BI Analyst_Test'!R35/60</f>
        <v>34</v>
      </c>
      <c r="E46" s="33">
        <f>AVERAGE('CX_Junior BI Analyst_Test'!D35:K35)</f>
        <v>83.875</v>
      </c>
      <c r="G46" s="14" t="str">
        <f>'CX_Junior BI Analyst_Test'!X39</f>
        <v>The style advisor did not mention his name.</v>
      </c>
      <c r="H46" s="14" t="str">
        <f>'CX_Junior BI Analyst_Test'!N39</f>
        <v>South</v>
      </c>
      <c r="I46" s="14">
        <f>'CX_Junior BI Analyst_Test'!R39/60</f>
        <v>25</v>
      </c>
      <c r="J46" s="34">
        <f>AVERAGE('CX_Junior BI Analyst_Test'!D39:K39)</f>
        <v>33.375</v>
      </c>
    </row>
    <row r="47" spans="2:10" x14ac:dyDescent="0.35">
      <c r="B47" s="14" t="str">
        <f>'CX_Junior BI Analyst_Test'!X36</f>
        <v>Sagar Prathak</v>
      </c>
      <c r="C47" s="14" t="str">
        <f>'CX_Junior BI Analyst_Test'!N36</f>
        <v>North</v>
      </c>
      <c r="D47" s="14">
        <f>'CX_Junior BI Analyst_Test'!R36/60</f>
        <v>31</v>
      </c>
      <c r="E47" s="33">
        <f>AVERAGE('CX_Junior BI Analyst_Test'!D36:K36)</f>
        <v>84.75</v>
      </c>
      <c r="G47" s="14" t="str">
        <f>'CX_Junior BI Analyst_Test'!X43</f>
        <v>Rafi</v>
      </c>
      <c r="H47" s="14" t="str">
        <f>'CX_Junior BI Analyst_Test'!N43</f>
        <v>South</v>
      </c>
      <c r="I47" s="14">
        <f>'CX_Junior BI Analyst_Test'!R43/60</f>
        <v>25</v>
      </c>
      <c r="J47" s="34">
        <f>AVERAGE('CX_Junior BI Analyst_Test'!D43:K43)</f>
        <v>60.375</v>
      </c>
    </row>
    <row r="48" spans="2:10" x14ac:dyDescent="0.35">
      <c r="B48" s="14" t="str">
        <f>'CX_Junior BI Analyst_Test'!X37</f>
        <v>Santosh Jadhav</v>
      </c>
      <c r="C48" s="14" t="str">
        <f>'CX_Junior BI Analyst_Test'!N37</f>
        <v>West</v>
      </c>
      <c r="D48" s="14">
        <f>'CX_Junior BI Analyst_Test'!R37/60</f>
        <v>32</v>
      </c>
      <c r="E48" s="33">
        <f>AVERAGE('CX_Junior BI Analyst_Test'!D37:K37)</f>
        <v>87.125</v>
      </c>
      <c r="G48" s="14" t="str">
        <f>'CX_Junior BI Analyst_Test'!X47</f>
        <v>Rohit</v>
      </c>
      <c r="H48" s="14" t="str">
        <f>'CX_Junior BI Analyst_Test'!N47</f>
        <v>North</v>
      </c>
      <c r="I48" s="14">
        <f>'CX_Junior BI Analyst_Test'!R47/60</f>
        <v>25</v>
      </c>
      <c r="J48" s="34">
        <f>AVERAGE('CX_Junior BI Analyst_Test'!D47:K47)</f>
        <v>94.375</v>
      </c>
    </row>
    <row r="49" spans="2:10" x14ac:dyDescent="0.35">
      <c r="B49" s="14" t="str">
        <f>'CX_Junior BI Analyst_Test'!X38</f>
        <v>Suresh</v>
      </c>
      <c r="C49" s="14" t="str">
        <f>'CX_Junior BI Analyst_Test'!N38</f>
        <v>South</v>
      </c>
      <c r="D49" s="14">
        <f>'CX_Junior BI Analyst_Test'!R38/60</f>
        <v>29</v>
      </c>
      <c r="E49" s="33">
        <f>AVERAGE('CX_Junior BI Analyst_Test'!D38:K38)</f>
        <v>77.625</v>
      </c>
      <c r="G49" s="14" t="str">
        <f>'CX_Junior BI Analyst_Test'!X12</f>
        <v>Gaurav</v>
      </c>
      <c r="H49" s="14" t="str">
        <f>'CX_Junior BI Analyst_Test'!N12</f>
        <v>West</v>
      </c>
      <c r="I49" s="14">
        <f>'CX_Junior BI Analyst_Test'!R12/60</f>
        <v>26</v>
      </c>
      <c r="J49" s="34">
        <f>AVERAGE('CX_Junior BI Analyst_Test'!D12:K12)</f>
        <v>90.125</v>
      </c>
    </row>
    <row r="50" spans="2:10" x14ac:dyDescent="0.35">
      <c r="B50" s="14" t="str">
        <f>'CX_Junior BI Analyst_Test'!X39</f>
        <v>The style advisor did not mention his name.</v>
      </c>
      <c r="C50" s="14" t="str">
        <f>'CX_Junior BI Analyst_Test'!N39</f>
        <v>South</v>
      </c>
      <c r="D50" s="14">
        <f>'CX_Junior BI Analyst_Test'!R39/60</f>
        <v>25</v>
      </c>
      <c r="E50" s="33">
        <f>AVERAGE('CX_Junior BI Analyst_Test'!D39:K39)</f>
        <v>33.375</v>
      </c>
      <c r="G50" s="14" t="str">
        <f>'CX_Junior BI Analyst_Test'!X16</f>
        <v>Yasin Kaif</v>
      </c>
      <c r="H50" s="14" t="str">
        <f>'CX_Junior BI Analyst_Test'!N16</f>
        <v>West</v>
      </c>
      <c r="I50" s="14">
        <f>'CX_Junior BI Analyst_Test'!R16/60</f>
        <v>28</v>
      </c>
      <c r="J50" s="34">
        <f>AVERAGE('CX_Junior BI Analyst_Test'!D16:K16)</f>
        <v>66.375</v>
      </c>
    </row>
    <row r="51" spans="2:10" x14ac:dyDescent="0.35">
      <c r="B51" s="14" t="str">
        <f>'CX_Junior BI Analyst_Test'!X40</f>
        <v>Ali</v>
      </c>
      <c r="C51" s="14" t="str">
        <f>'CX_Junior BI Analyst_Test'!N40</f>
        <v>South</v>
      </c>
      <c r="D51" s="14">
        <f>'CX_Junior BI Analyst_Test'!R40/60</f>
        <v>28</v>
      </c>
      <c r="E51" s="33">
        <f>AVERAGE('CX_Junior BI Analyst_Test'!D40:K40)</f>
        <v>72.75</v>
      </c>
      <c r="G51" s="14" t="str">
        <f>'CX_Junior BI Analyst_Test'!X23</f>
        <v>Sanjeev</v>
      </c>
      <c r="H51" s="14" t="str">
        <f>'CX_Junior BI Analyst_Test'!N23</f>
        <v>North</v>
      </c>
      <c r="I51" s="14">
        <f>'CX_Junior BI Analyst_Test'!R23/60</f>
        <v>28</v>
      </c>
      <c r="J51" s="34">
        <f>AVERAGE('CX_Junior BI Analyst_Test'!D23:K23)</f>
        <v>67.75</v>
      </c>
    </row>
    <row r="52" spans="2:10" x14ac:dyDescent="0.35">
      <c r="B52" s="14" t="str">
        <f>'CX_Junior BI Analyst_Test'!X41</f>
        <v>Fariz</v>
      </c>
      <c r="C52" s="14" t="str">
        <f>'CX_Junior BI Analyst_Test'!N41</f>
        <v>North</v>
      </c>
      <c r="D52" s="14">
        <f>'CX_Junior BI Analyst_Test'!R41/60</f>
        <v>22</v>
      </c>
      <c r="E52" s="33">
        <f>AVERAGE('CX_Junior BI Analyst_Test'!D41:K41)</f>
        <v>100</v>
      </c>
      <c r="G52" s="14" t="str">
        <f>'CX_Junior BI Analyst_Test'!X40</f>
        <v>Ali</v>
      </c>
      <c r="H52" s="14" t="str">
        <f>'CX_Junior BI Analyst_Test'!N40</f>
        <v>South</v>
      </c>
      <c r="I52" s="14">
        <f>'CX_Junior BI Analyst_Test'!R40/60</f>
        <v>28</v>
      </c>
      <c r="J52" s="34">
        <f>AVERAGE('CX_Junior BI Analyst_Test'!D40:K40)</f>
        <v>72.75</v>
      </c>
    </row>
    <row r="53" spans="2:10" x14ac:dyDescent="0.35">
      <c r="B53" s="14" t="str">
        <f>'CX_Junior BI Analyst_Test'!X42</f>
        <v>Abhay</v>
      </c>
      <c r="C53" s="14" t="str">
        <f>'CX_Junior BI Analyst_Test'!N42</f>
        <v>North</v>
      </c>
      <c r="D53" s="14">
        <f>'CX_Junior BI Analyst_Test'!R42/60</f>
        <v>24</v>
      </c>
      <c r="E53" s="33">
        <f>AVERAGE('CX_Junior BI Analyst_Test'!D42:K42)</f>
        <v>95.875</v>
      </c>
      <c r="G53" s="14" t="str">
        <f>'CX_Junior BI Analyst_Test'!X51</f>
        <v>Gouse Bhasha</v>
      </c>
      <c r="H53" s="14" t="str">
        <f>'CX_Junior BI Analyst_Test'!N51</f>
        <v>South</v>
      </c>
      <c r="I53" s="14">
        <f>'CX_Junior BI Analyst_Test'!R51/60</f>
        <v>28</v>
      </c>
      <c r="J53" s="34">
        <f>AVERAGE('CX_Junior BI Analyst_Test'!D51:K51)</f>
        <v>65.75</v>
      </c>
    </row>
    <row r="54" spans="2:10" x14ac:dyDescent="0.35">
      <c r="B54" s="14" t="str">
        <f>'CX_Junior BI Analyst_Test'!X43</f>
        <v>Rafi</v>
      </c>
      <c r="C54" s="14" t="str">
        <f>'CX_Junior BI Analyst_Test'!N43</f>
        <v>South</v>
      </c>
      <c r="D54" s="14">
        <f>'CX_Junior BI Analyst_Test'!R43/60</f>
        <v>25</v>
      </c>
      <c r="E54" s="33">
        <f>AVERAGE('CX_Junior BI Analyst_Test'!D43:K43)</f>
        <v>60.375</v>
      </c>
      <c r="G54" s="14" t="str">
        <f>'CX_Junior BI Analyst_Test'!X38</f>
        <v>Suresh</v>
      </c>
      <c r="H54" s="14" t="str">
        <f>'CX_Junior BI Analyst_Test'!N38</f>
        <v>South</v>
      </c>
      <c r="I54" s="14">
        <f>'CX_Junior BI Analyst_Test'!R38/60</f>
        <v>29</v>
      </c>
      <c r="J54" s="34">
        <f>AVERAGE('CX_Junior BI Analyst_Test'!D38:K38)</f>
        <v>77.625</v>
      </c>
    </row>
    <row r="55" spans="2:10" x14ac:dyDescent="0.35">
      <c r="B55" s="14" t="str">
        <f>'CX_Junior BI Analyst_Test'!X44</f>
        <v>Sanjit</v>
      </c>
      <c r="C55" s="14" t="str">
        <f>'CX_Junior BI Analyst_Test'!N44</f>
        <v>East</v>
      </c>
      <c r="D55" s="14">
        <f>'CX_Junior BI Analyst_Test'!R44/60</f>
        <v>23</v>
      </c>
      <c r="E55" s="33">
        <f>AVERAGE('CX_Junior BI Analyst_Test'!D44:K44)</f>
        <v>53.75</v>
      </c>
      <c r="G55" s="14" t="str">
        <f>'CX_Junior BI Analyst_Test'!X57</f>
        <v>Vasudev</v>
      </c>
      <c r="H55" s="14" t="str">
        <f>'CX_Junior BI Analyst_Test'!N57</f>
        <v>East</v>
      </c>
      <c r="I55" s="14">
        <f>'CX_Junior BI Analyst_Test'!R57/60</f>
        <v>29</v>
      </c>
      <c r="J55" s="34">
        <f>AVERAGE('CX_Junior BI Analyst_Test'!D57:K57)</f>
        <v>61.75</v>
      </c>
    </row>
    <row r="56" spans="2:10" x14ac:dyDescent="0.35">
      <c r="B56" s="14" t="str">
        <f>'CX_Junior BI Analyst_Test'!X45</f>
        <v>Suman</v>
      </c>
      <c r="C56" s="14" t="str">
        <f>'CX_Junior BI Analyst_Test'!N45</f>
        <v>East</v>
      </c>
      <c r="D56" s="14">
        <f>'CX_Junior BI Analyst_Test'!R45/60</f>
        <v>51</v>
      </c>
      <c r="E56" s="33">
        <f>AVERAGE('CX_Junior BI Analyst_Test'!D45:K45)</f>
        <v>95.375</v>
      </c>
      <c r="G56" s="14" t="str">
        <f>'CX_Junior BI Analyst_Test'!X55</f>
        <v>Aneesh Jayanth</v>
      </c>
      <c r="H56" s="14" t="str">
        <f>'CX_Junior BI Analyst_Test'!N55</f>
        <v>South</v>
      </c>
      <c r="I56" s="14">
        <f>'CX_Junior BI Analyst_Test'!R55/60</f>
        <v>30</v>
      </c>
      <c r="J56" s="34">
        <f>AVERAGE('CX_Junior BI Analyst_Test'!D55:K55)</f>
        <v>56.875</v>
      </c>
    </row>
    <row r="57" spans="2:10" x14ac:dyDescent="0.35">
      <c r="B57" s="14" t="str">
        <f>'CX_Junior BI Analyst_Test'!X46</f>
        <v>Yogesh</v>
      </c>
      <c r="C57" s="14" t="str">
        <f>'CX_Junior BI Analyst_Test'!N46</f>
        <v>West</v>
      </c>
      <c r="D57" s="14">
        <f>'CX_Junior BI Analyst_Test'!R46/60</f>
        <v>24</v>
      </c>
      <c r="E57" s="33">
        <f>AVERAGE('CX_Junior BI Analyst_Test'!D46:K46)</f>
        <v>88.125</v>
      </c>
      <c r="G57" s="14" t="str">
        <f>'CX_Junior BI Analyst_Test'!X60</f>
        <v>Mr. Girish</v>
      </c>
      <c r="H57" s="14" t="str">
        <f>'CX_Junior BI Analyst_Test'!N60</f>
        <v>South</v>
      </c>
      <c r="I57" s="14">
        <f>'CX_Junior BI Analyst_Test'!R60/60</f>
        <v>30</v>
      </c>
      <c r="J57" s="34">
        <f>AVERAGE('CX_Junior BI Analyst_Test'!D60:K60)</f>
        <v>27</v>
      </c>
    </row>
    <row r="58" spans="2:10" x14ac:dyDescent="0.35">
      <c r="B58" s="14" t="str">
        <f>'CX_Junior BI Analyst_Test'!X47</f>
        <v>Rohit</v>
      </c>
      <c r="C58" s="14" t="str">
        <f>'CX_Junior BI Analyst_Test'!N47</f>
        <v>North</v>
      </c>
      <c r="D58" s="14">
        <f>'CX_Junior BI Analyst_Test'!R47/60</f>
        <v>25</v>
      </c>
      <c r="E58" s="33">
        <f>AVERAGE('CX_Junior BI Analyst_Test'!D47:K47)</f>
        <v>94.375</v>
      </c>
      <c r="G58" s="14" t="str">
        <f>'CX_Junior BI Analyst_Test'!X61</f>
        <v>Yash</v>
      </c>
      <c r="H58" s="14" t="str">
        <f>'CX_Junior BI Analyst_Test'!N61</f>
        <v>South</v>
      </c>
      <c r="I58" s="14">
        <f>'CX_Junior BI Analyst_Test'!R61/60</f>
        <v>30</v>
      </c>
      <c r="J58" s="34">
        <f>AVERAGE('CX_Junior BI Analyst_Test'!D61:K61)</f>
        <v>26.25</v>
      </c>
    </row>
    <row r="59" spans="2:10" x14ac:dyDescent="0.35">
      <c r="B59" s="14" t="str">
        <f>'CX_Junior BI Analyst_Test'!X48</f>
        <v>Muskan</v>
      </c>
      <c r="C59" s="14" t="str">
        <f>'CX_Junior BI Analyst_Test'!N48</f>
        <v>East</v>
      </c>
      <c r="D59" s="14">
        <f>'CX_Junior BI Analyst_Test'!R48/60</f>
        <v>58</v>
      </c>
      <c r="E59" s="33">
        <f>AVERAGE('CX_Junior BI Analyst_Test'!D48:K48)</f>
        <v>43.375</v>
      </c>
      <c r="G59" s="14" t="str">
        <f>'CX_Junior BI Analyst_Test'!X5</f>
        <v>Sonali</v>
      </c>
      <c r="H59" s="14" t="str">
        <f>'CX_Junior BI Analyst_Test'!N5</f>
        <v>North</v>
      </c>
      <c r="I59" s="14">
        <f>'CX_Junior BI Analyst_Test'!R5/60</f>
        <v>31</v>
      </c>
      <c r="J59" s="34">
        <f>AVERAGE('CX_Junior BI Analyst_Test'!D5:K5)</f>
        <v>87.5</v>
      </c>
    </row>
    <row r="60" spans="2:10" x14ac:dyDescent="0.35">
      <c r="B60" s="14" t="str">
        <f>'CX_Junior BI Analyst_Test'!X49</f>
        <v>Rahul</v>
      </c>
      <c r="C60" s="14" t="str">
        <f>'CX_Junior BI Analyst_Test'!N49</f>
        <v>North</v>
      </c>
      <c r="D60" s="14">
        <f>'CX_Junior BI Analyst_Test'!R49/60</f>
        <v>19</v>
      </c>
      <c r="E60" s="33">
        <f>AVERAGE('CX_Junior BI Analyst_Test'!D49:K49)</f>
        <v>66.875</v>
      </c>
      <c r="G60" s="14" t="str">
        <f>'CX_Junior BI Analyst_Test'!X36</f>
        <v>Sagar Prathak</v>
      </c>
      <c r="H60" s="14" t="str">
        <f>'CX_Junior BI Analyst_Test'!N36</f>
        <v>North</v>
      </c>
      <c r="I60" s="14">
        <f>'CX_Junior BI Analyst_Test'!R36/60</f>
        <v>31</v>
      </c>
      <c r="J60" s="34">
        <f>AVERAGE('CX_Junior BI Analyst_Test'!D36:K36)</f>
        <v>84.75</v>
      </c>
    </row>
    <row r="61" spans="2:10" x14ac:dyDescent="0.35">
      <c r="B61" s="14" t="str">
        <f>'CX_Junior BI Analyst_Test'!X50</f>
        <v>Nitesh</v>
      </c>
      <c r="C61" s="14" t="str">
        <f>'CX_Junior BI Analyst_Test'!N50</f>
        <v>North</v>
      </c>
      <c r="D61" s="14">
        <f>'CX_Junior BI Analyst_Test'!R50/60</f>
        <v>20</v>
      </c>
      <c r="E61" s="33">
        <f>AVERAGE('CX_Junior BI Analyst_Test'!D50:K50)</f>
        <v>66.625</v>
      </c>
      <c r="G61" s="14" t="str">
        <f>'CX_Junior BI Analyst_Test'!X27</f>
        <v>Rajiv</v>
      </c>
      <c r="H61" s="14" t="str">
        <f>'CX_Junior BI Analyst_Test'!N27</f>
        <v>South</v>
      </c>
      <c r="I61" s="14">
        <f>'CX_Junior BI Analyst_Test'!R27/60</f>
        <v>32</v>
      </c>
      <c r="J61" s="34">
        <f>AVERAGE('CX_Junior BI Analyst_Test'!D27:K27)</f>
        <v>81.75</v>
      </c>
    </row>
    <row r="62" spans="2:10" x14ac:dyDescent="0.35">
      <c r="B62" s="14" t="str">
        <f>'CX_Junior BI Analyst_Test'!X51</f>
        <v>Gouse Bhasha</v>
      </c>
      <c r="C62" s="14" t="str">
        <f>'CX_Junior BI Analyst_Test'!N51</f>
        <v>South</v>
      </c>
      <c r="D62" s="14">
        <f>'CX_Junior BI Analyst_Test'!R51/60</f>
        <v>28</v>
      </c>
      <c r="E62" s="33">
        <f>AVERAGE('CX_Junior BI Analyst_Test'!D51:K51)</f>
        <v>65.75</v>
      </c>
      <c r="G62" s="14" t="str">
        <f>'CX_Junior BI Analyst_Test'!X37</f>
        <v>Santosh Jadhav</v>
      </c>
      <c r="H62" s="14" t="str">
        <f>'CX_Junior BI Analyst_Test'!N37</f>
        <v>West</v>
      </c>
      <c r="I62" s="14">
        <f>'CX_Junior BI Analyst_Test'!R37/60</f>
        <v>32</v>
      </c>
      <c r="J62" s="34">
        <f>AVERAGE('CX_Junior BI Analyst_Test'!D37:K37)</f>
        <v>87.125</v>
      </c>
    </row>
    <row r="63" spans="2:10" x14ac:dyDescent="0.35">
      <c r="B63" s="14" t="str">
        <f>'CX_Junior BI Analyst_Test'!X52</f>
        <v>Suraj</v>
      </c>
      <c r="C63" s="14" t="str">
        <f>'CX_Junior BI Analyst_Test'!N52</f>
        <v>West</v>
      </c>
      <c r="D63" s="14">
        <f>'CX_Junior BI Analyst_Test'!R52/60</f>
        <v>45</v>
      </c>
      <c r="E63" s="33">
        <f>AVERAGE('CX_Junior BI Analyst_Test'!D52:K52)</f>
        <v>93.75</v>
      </c>
      <c r="G63" s="14" t="str">
        <f>'CX_Junior BI Analyst_Test'!X15</f>
        <v>Asif</v>
      </c>
      <c r="H63" s="14" t="str">
        <f>'CX_Junior BI Analyst_Test'!N15</f>
        <v>South</v>
      </c>
      <c r="I63" s="14">
        <f>'CX_Junior BI Analyst_Test'!R15/60</f>
        <v>34</v>
      </c>
      <c r="J63" s="34">
        <f>AVERAGE('CX_Junior BI Analyst_Test'!D15:K15)</f>
        <v>81.75</v>
      </c>
    </row>
    <row r="64" spans="2:10" x14ac:dyDescent="0.35">
      <c r="B64" s="14" t="str">
        <f>'CX_Junior BI Analyst_Test'!X53</f>
        <v>Priyanka</v>
      </c>
      <c r="C64" s="14" t="str">
        <f>'CX_Junior BI Analyst_Test'!N53</f>
        <v>East</v>
      </c>
      <c r="D64" s="14">
        <f>'CX_Junior BI Analyst_Test'!R53/60</f>
        <v>76</v>
      </c>
      <c r="E64" s="33">
        <f>AVERAGE('CX_Junior BI Analyst_Test'!D53:K53)</f>
        <v>95.375</v>
      </c>
      <c r="G64" s="14" t="str">
        <f>'CX_Junior BI Analyst_Test'!X35</f>
        <v>Samir Pathan</v>
      </c>
      <c r="H64" s="14" t="str">
        <f>'CX_Junior BI Analyst_Test'!N35</f>
        <v>West</v>
      </c>
      <c r="I64" s="14">
        <f>'CX_Junior BI Analyst_Test'!R35/60</f>
        <v>34</v>
      </c>
      <c r="J64" s="34">
        <f>AVERAGE('CX_Junior BI Analyst_Test'!D35:K35)</f>
        <v>83.875</v>
      </c>
    </row>
    <row r="65" spans="2:10" x14ac:dyDescent="0.35">
      <c r="B65" s="14" t="str">
        <f>'CX_Junior BI Analyst_Test'!X54</f>
        <v>Vijay K</v>
      </c>
      <c r="C65" s="14" t="str">
        <f>'CX_Junior BI Analyst_Test'!N54</f>
        <v>West</v>
      </c>
      <c r="D65" s="14">
        <f>'CX_Junior BI Analyst_Test'!R54/60</f>
        <v>22</v>
      </c>
      <c r="E65" s="33">
        <f>AVERAGE('CX_Junior BI Analyst_Test'!D54:K54)</f>
        <v>28.25</v>
      </c>
      <c r="G65" s="14" t="str">
        <f>'CX_Junior BI Analyst_Test'!X6</f>
        <v>Jateen</v>
      </c>
      <c r="H65" s="14" t="str">
        <f>'CX_Junior BI Analyst_Test'!N6</f>
        <v>North</v>
      </c>
      <c r="I65" s="14">
        <f>'CX_Junior BI Analyst_Test'!R6/60</f>
        <v>35</v>
      </c>
      <c r="J65" s="34">
        <f>AVERAGE('CX_Junior BI Analyst_Test'!D6:K6)</f>
        <v>87.5</v>
      </c>
    </row>
    <row r="66" spans="2:10" x14ac:dyDescent="0.35">
      <c r="B66" s="14" t="str">
        <f>'CX_Junior BI Analyst_Test'!X55</f>
        <v>Aneesh Jayanth</v>
      </c>
      <c r="C66" s="14" t="str">
        <f>'CX_Junior BI Analyst_Test'!N55</f>
        <v>South</v>
      </c>
      <c r="D66" s="14">
        <f>'CX_Junior BI Analyst_Test'!R55/60</f>
        <v>30</v>
      </c>
      <c r="E66" s="33">
        <f>AVERAGE('CX_Junior BI Analyst_Test'!D55:K55)</f>
        <v>56.875</v>
      </c>
      <c r="G66" s="14" t="str">
        <f>'CX_Junior BI Analyst_Test'!X32</f>
        <v>Lukman</v>
      </c>
      <c r="H66" s="14" t="str">
        <f>'CX_Junior BI Analyst_Test'!N32</f>
        <v>South</v>
      </c>
      <c r="I66" s="14">
        <f>'CX_Junior BI Analyst_Test'!R32/60</f>
        <v>35</v>
      </c>
      <c r="J66" s="34">
        <f>AVERAGE('CX_Junior BI Analyst_Test'!D32:K32)</f>
        <v>75.625</v>
      </c>
    </row>
    <row r="67" spans="2:10" x14ac:dyDescent="0.35">
      <c r="B67" s="14" t="str">
        <f>'CX_Junior BI Analyst_Test'!X56</f>
        <v>Varinder</v>
      </c>
      <c r="C67" s="14" t="str">
        <f>'CX_Junior BI Analyst_Test'!N56</f>
        <v>North</v>
      </c>
      <c r="D67" s="14">
        <f>'CX_Junior BI Analyst_Test'!R56/60</f>
        <v>23</v>
      </c>
      <c r="E67" s="33">
        <f>AVERAGE('CX_Junior BI Analyst_Test'!D56:K56)</f>
        <v>94.75</v>
      </c>
      <c r="G67" s="14" t="str">
        <f>'CX_Junior BI Analyst_Test'!X17</f>
        <v>Bablu</v>
      </c>
      <c r="H67" s="14" t="str">
        <f>'CX_Junior BI Analyst_Test'!N17</f>
        <v>West</v>
      </c>
      <c r="I67" s="14">
        <f>'CX_Junior BI Analyst_Test'!R17/60</f>
        <v>38</v>
      </c>
      <c r="J67" s="34">
        <f>AVERAGE('CX_Junior BI Analyst_Test'!D17:K17)</f>
        <v>78</v>
      </c>
    </row>
    <row r="68" spans="2:10" x14ac:dyDescent="0.35">
      <c r="B68" s="14" t="str">
        <f>'CX_Junior BI Analyst_Test'!X57</f>
        <v>Vasudev</v>
      </c>
      <c r="C68" s="14" t="str">
        <f>'CX_Junior BI Analyst_Test'!N57</f>
        <v>East</v>
      </c>
      <c r="D68" s="14">
        <f>'CX_Junior BI Analyst_Test'!R57/60</f>
        <v>29</v>
      </c>
      <c r="E68" s="33">
        <f>AVERAGE('CX_Junior BI Analyst_Test'!D57:K57)</f>
        <v>61.75</v>
      </c>
      <c r="G68" s="14" t="str">
        <f>'CX_Junior BI Analyst_Test'!X18</f>
        <v>Nagraj</v>
      </c>
      <c r="H68" s="14" t="str">
        <f>'CX_Junior BI Analyst_Test'!N18</f>
        <v>West</v>
      </c>
      <c r="I68" s="14">
        <f>'CX_Junior BI Analyst_Test'!R18/60</f>
        <v>40</v>
      </c>
      <c r="J68" s="34">
        <f>AVERAGE('CX_Junior BI Analyst_Test'!D18:K18)</f>
        <v>88.375</v>
      </c>
    </row>
    <row r="69" spans="2:10" x14ac:dyDescent="0.35">
      <c r="B69" s="14" t="str">
        <f>'CX_Junior BI Analyst_Test'!X58</f>
        <v>Senthil Kumar</v>
      </c>
      <c r="C69" s="14" t="str">
        <f>'CX_Junior BI Analyst_Test'!N58</f>
        <v>South</v>
      </c>
      <c r="D69" s="14">
        <f>'CX_Junior BI Analyst_Test'!R58/60</f>
        <v>21</v>
      </c>
      <c r="E69" s="33">
        <f>AVERAGE('CX_Junior BI Analyst_Test'!D58:K58)</f>
        <v>90.125</v>
      </c>
      <c r="G69" s="14" t="str">
        <f>'CX_Junior BI Analyst_Test'!X52</f>
        <v>Suraj</v>
      </c>
      <c r="H69" s="14" t="str">
        <f>'CX_Junior BI Analyst_Test'!N52</f>
        <v>West</v>
      </c>
      <c r="I69" s="14">
        <f>'CX_Junior BI Analyst_Test'!R52/60</f>
        <v>45</v>
      </c>
      <c r="J69" s="34">
        <f>AVERAGE('CX_Junior BI Analyst_Test'!D52:K52)</f>
        <v>93.75</v>
      </c>
    </row>
    <row r="70" spans="2:10" x14ac:dyDescent="0.35">
      <c r="B70" s="14" t="str">
        <f>'CX_Junior BI Analyst_Test'!X59</f>
        <v>Anju Gurung</v>
      </c>
      <c r="C70" s="14" t="str">
        <f>'CX_Junior BI Analyst_Test'!N59</f>
        <v>South</v>
      </c>
      <c r="D70" s="14">
        <f>'CX_Junior BI Analyst_Test'!R59/60</f>
        <v>54</v>
      </c>
      <c r="E70" s="33">
        <f>AVERAGE('CX_Junior BI Analyst_Test'!D59:K59)</f>
        <v>67.875</v>
      </c>
      <c r="G70" s="14" t="str">
        <f>'CX_Junior BI Analyst_Test'!X45</f>
        <v>Suman</v>
      </c>
      <c r="H70" s="14" t="str">
        <f>'CX_Junior BI Analyst_Test'!N45</f>
        <v>East</v>
      </c>
      <c r="I70" s="14">
        <f>'CX_Junior BI Analyst_Test'!R45/60</f>
        <v>51</v>
      </c>
      <c r="J70" s="34">
        <f>AVERAGE('CX_Junior BI Analyst_Test'!D45:K45)</f>
        <v>95.375</v>
      </c>
    </row>
    <row r="71" spans="2:10" x14ac:dyDescent="0.35">
      <c r="B71" s="14" t="str">
        <f>'CX_Junior BI Analyst_Test'!X60</f>
        <v>Mr. Girish</v>
      </c>
      <c r="C71" s="14" t="str">
        <f>'CX_Junior BI Analyst_Test'!N60</f>
        <v>South</v>
      </c>
      <c r="D71" s="14">
        <f>'CX_Junior BI Analyst_Test'!R60/60</f>
        <v>30</v>
      </c>
      <c r="E71" s="33">
        <f>AVERAGE('CX_Junior BI Analyst_Test'!D60:K60)</f>
        <v>27</v>
      </c>
      <c r="G71" s="14" t="str">
        <f>'CX_Junior BI Analyst_Test'!X59</f>
        <v>Anju Gurung</v>
      </c>
      <c r="H71" s="14" t="str">
        <f>'CX_Junior BI Analyst_Test'!N59</f>
        <v>South</v>
      </c>
      <c r="I71" s="14">
        <f>'CX_Junior BI Analyst_Test'!R59/60</f>
        <v>54</v>
      </c>
      <c r="J71" s="34">
        <f>AVERAGE('CX_Junior BI Analyst_Test'!D59:K59)</f>
        <v>67.875</v>
      </c>
    </row>
    <row r="72" spans="2:10" x14ac:dyDescent="0.35">
      <c r="B72" s="14" t="str">
        <f>'CX_Junior BI Analyst_Test'!X61</f>
        <v>Yash</v>
      </c>
      <c r="C72" s="14" t="str">
        <f>'CX_Junior BI Analyst_Test'!N61</f>
        <v>South</v>
      </c>
      <c r="D72" s="14">
        <f>'CX_Junior BI Analyst_Test'!R61/60</f>
        <v>30</v>
      </c>
      <c r="E72" s="33">
        <f>AVERAGE('CX_Junior BI Analyst_Test'!D61:K61)</f>
        <v>26.25</v>
      </c>
      <c r="G72" s="14" t="str">
        <f>'CX_Junior BI Analyst_Test'!X48</f>
        <v>Muskan</v>
      </c>
      <c r="H72" s="14" t="str">
        <f>'CX_Junior BI Analyst_Test'!N48</f>
        <v>East</v>
      </c>
      <c r="I72" s="14">
        <f>'CX_Junior BI Analyst_Test'!R48/60</f>
        <v>58</v>
      </c>
      <c r="J72" s="34">
        <f>AVERAGE('CX_Junior BI Analyst_Test'!D48:K48)</f>
        <v>43.375</v>
      </c>
    </row>
    <row r="73" spans="2:10" x14ac:dyDescent="0.35">
      <c r="B73" s="14" t="str">
        <f>'CX_Junior BI Analyst_Test'!X62</f>
        <v>Arbaaz</v>
      </c>
      <c r="C73" s="14" t="str">
        <f>'CX_Junior BI Analyst_Test'!N62</f>
        <v>West</v>
      </c>
      <c r="D73" s="14">
        <f>'CX_Junior BI Analyst_Test'!R62/60</f>
        <v>12</v>
      </c>
      <c r="E73" s="33">
        <f>AVERAGE('CX_Junior BI Analyst_Test'!D62:K62)</f>
        <v>66.25</v>
      </c>
      <c r="G73" s="14" t="str">
        <f>'CX_Junior BI Analyst_Test'!X53</f>
        <v>Priyanka</v>
      </c>
      <c r="H73" s="14" t="str">
        <f>'CX_Junior BI Analyst_Test'!N53</f>
        <v>East</v>
      </c>
      <c r="I73" s="14">
        <f>'CX_Junior BI Analyst_Test'!R53/60</f>
        <v>76</v>
      </c>
      <c r="J73" s="34">
        <f>AVERAGE('CX_Junior BI Analyst_Test'!D53:K53)</f>
        <v>95.375</v>
      </c>
    </row>
    <row r="77" spans="2:10" x14ac:dyDescent="0.35">
      <c r="B77" s="35" t="s">
        <v>23</v>
      </c>
      <c r="C77" s="35" t="s">
        <v>2</v>
      </c>
      <c r="D77" s="35" t="s">
        <v>800</v>
      </c>
    </row>
    <row r="78" spans="2:10" x14ac:dyDescent="0.35">
      <c r="B78" s="14" t="str">
        <f>'CX_Junior BI Analyst_Test'!X2</f>
        <v>Kamal</v>
      </c>
      <c r="C78" s="14">
        <f>'CX_Junior BI Analyst_Test'!C2</f>
        <v>58</v>
      </c>
      <c r="D78" s="16">
        <f>E13</f>
        <v>57.5</v>
      </c>
    </row>
    <row r="79" spans="2:10" x14ac:dyDescent="0.35">
      <c r="B79" s="14" t="str">
        <f>'CX_Junior BI Analyst_Test'!X3</f>
        <v>Sanket Patel</v>
      </c>
      <c r="C79" s="14">
        <f>'CX_Junior BI Analyst_Test'!C3</f>
        <v>86</v>
      </c>
      <c r="D79" s="16">
        <f t="shared" ref="D79:D138" si="0">E14</f>
        <v>88.125</v>
      </c>
    </row>
    <row r="80" spans="2:10" x14ac:dyDescent="0.35">
      <c r="B80" s="14" t="str">
        <f>'CX_Junior BI Analyst_Test'!X4</f>
        <v>Mahesh</v>
      </c>
      <c r="C80" s="14">
        <f>'CX_Junior BI Analyst_Test'!C4</f>
        <v>72</v>
      </c>
      <c r="D80" s="16">
        <f t="shared" si="0"/>
        <v>74.625</v>
      </c>
    </row>
    <row r="81" spans="2:4" x14ac:dyDescent="0.35">
      <c r="B81" s="14" t="str">
        <f>'CX_Junior BI Analyst_Test'!X5</f>
        <v>Sonali</v>
      </c>
      <c r="C81" s="14">
        <f>'CX_Junior BI Analyst_Test'!C5</f>
        <v>84</v>
      </c>
      <c r="D81" s="16">
        <f t="shared" si="0"/>
        <v>87.5</v>
      </c>
    </row>
    <row r="82" spans="2:4" x14ac:dyDescent="0.35">
      <c r="B82" s="14" t="str">
        <f>'CX_Junior BI Analyst_Test'!X6</f>
        <v>Jateen</v>
      </c>
      <c r="C82" s="14">
        <f>'CX_Junior BI Analyst_Test'!C6</f>
        <v>84</v>
      </c>
      <c r="D82" s="16">
        <f t="shared" si="0"/>
        <v>87.5</v>
      </c>
    </row>
    <row r="83" spans="2:4" x14ac:dyDescent="0.35">
      <c r="B83" s="14" t="str">
        <f>'CX_Junior BI Analyst_Test'!X7</f>
        <v>Rizwan</v>
      </c>
      <c r="C83" s="14">
        <f>'CX_Junior BI Analyst_Test'!C7</f>
        <v>90</v>
      </c>
      <c r="D83" s="16">
        <f t="shared" si="0"/>
        <v>91.75</v>
      </c>
    </row>
    <row r="84" spans="2:4" x14ac:dyDescent="0.35">
      <c r="B84" s="14" t="str">
        <f>'CX_Junior BI Analyst_Test'!X8</f>
        <v>Mohsin</v>
      </c>
      <c r="C84" s="14">
        <f>'CX_Junior BI Analyst_Test'!C8</f>
        <v>36</v>
      </c>
      <c r="D84" s="16">
        <f t="shared" si="0"/>
        <v>24.125</v>
      </c>
    </row>
    <row r="85" spans="2:4" x14ac:dyDescent="0.35">
      <c r="B85" s="14" t="str">
        <f>'CX_Junior BI Analyst_Test'!X9</f>
        <v>Keneth</v>
      </c>
      <c r="C85" s="14">
        <f>'CX_Junior BI Analyst_Test'!C9</f>
        <v>34</v>
      </c>
      <c r="D85" s="16">
        <f t="shared" si="0"/>
        <v>28</v>
      </c>
    </row>
    <row r="86" spans="2:4" x14ac:dyDescent="0.35">
      <c r="B86" s="14" t="str">
        <f>'CX_Junior BI Analyst_Test'!X10</f>
        <v>Rakesh</v>
      </c>
      <c r="C86" s="14">
        <f>'CX_Junior BI Analyst_Test'!C10</f>
        <v>74</v>
      </c>
      <c r="D86" s="16">
        <f t="shared" si="0"/>
        <v>76</v>
      </c>
    </row>
    <row r="87" spans="2:4" x14ac:dyDescent="0.35">
      <c r="B87" s="14" t="str">
        <f>'CX_Junior BI Analyst_Test'!X11</f>
        <v>Rashid</v>
      </c>
      <c r="C87" s="14">
        <f>'CX_Junior BI Analyst_Test'!C11</f>
        <v>74</v>
      </c>
      <c r="D87" s="16">
        <f t="shared" si="0"/>
        <v>76</v>
      </c>
    </row>
    <row r="88" spans="2:4" x14ac:dyDescent="0.35">
      <c r="B88" s="14" t="str">
        <f>'CX_Junior BI Analyst_Test'!X12</f>
        <v>Gaurav</v>
      </c>
      <c r="C88" s="14">
        <f>'CX_Junior BI Analyst_Test'!C12</f>
        <v>86</v>
      </c>
      <c r="D88" s="16">
        <f t="shared" si="0"/>
        <v>90.125</v>
      </c>
    </row>
    <row r="89" spans="2:4" x14ac:dyDescent="0.35">
      <c r="B89" s="14" t="str">
        <f>'CX_Junior BI Analyst_Test'!X13</f>
        <v>Kiran</v>
      </c>
      <c r="C89" s="14">
        <f>'CX_Junior BI Analyst_Test'!C13</f>
        <v>70</v>
      </c>
      <c r="D89" s="16">
        <f t="shared" si="0"/>
        <v>76.75</v>
      </c>
    </row>
    <row r="90" spans="2:4" x14ac:dyDescent="0.35">
      <c r="B90" s="14" t="str">
        <f>'CX_Junior BI Analyst_Test'!X14</f>
        <v>Sanit Saji</v>
      </c>
      <c r="C90" s="14">
        <f>'CX_Junior BI Analyst_Test'!C14</f>
        <v>84</v>
      </c>
      <c r="D90" s="16">
        <f t="shared" si="0"/>
        <v>86.375</v>
      </c>
    </row>
    <row r="91" spans="2:4" x14ac:dyDescent="0.35">
      <c r="B91" s="14" t="str">
        <f>'CX_Junior BI Analyst_Test'!X15</f>
        <v>Asif</v>
      </c>
      <c r="C91" s="14">
        <f>'CX_Junior BI Analyst_Test'!C15</f>
        <v>78</v>
      </c>
      <c r="D91" s="16">
        <f t="shared" si="0"/>
        <v>81.75</v>
      </c>
    </row>
    <row r="92" spans="2:4" x14ac:dyDescent="0.35">
      <c r="B92" s="14" t="str">
        <f>'CX_Junior BI Analyst_Test'!X16</f>
        <v>Yasin Kaif</v>
      </c>
      <c r="C92" s="14">
        <f>'CX_Junior BI Analyst_Test'!C16</f>
        <v>61</v>
      </c>
      <c r="D92" s="16">
        <f t="shared" si="0"/>
        <v>66.375</v>
      </c>
    </row>
    <row r="93" spans="2:4" x14ac:dyDescent="0.35">
      <c r="B93" s="14" t="str">
        <f>'CX_Junior BI Analyst_Test'!X17</f>
        <v>Bablu</v>
      </c>
      <c r="C93" s="14">
        <f>'CX_Junior BI Analyst_Test'!C17</f>
        <v>78</v>
      </c>
      <c r="D93" s="16">
        <f t="shared" si="0"/>
        <v>78</v>
      </c>
    </row>
    <row r="94" spans="2:4" x14ac:dyDescent="0.35">
      <c r="B94" s="14" t="str">
        <f>'CX_Junior BI Analyst_Test'!X18</f>
        <v>Nagraj</v>
      </c>
      <c r="C94" s="14">
        <f>'CX_Junior BI Analyst_Test'!C18</f>
        <v>89</v>
      </c>
      <c r="D94" s="16">
        <f t="shared" si="0"/>
        <v>88.375</v>
      </c>
    </row>
    <row r="95" spans="2:4" x14ac:dyDescent="0.35">
      <c r="B95" s="14" t="str">
        <f>'CX_Junior BI Analyst_Test'!X19</f>
        <v>Ashish</v>
      </c>
      <c r="C95" s="14">
        <f>'CX_Junior BI Analyst_Test'!C19</f>
        <v>65</v>
      </c>
      <c r="D95" s="16">
        <f t="shared" si="0"/>
        <v>66.125</v>
      </c>
    </row>
    <row r="96" spans="2:4" x14ac:dyDescent="0.35">
      <c r="B96" s="14" t="str">
        <f>'CX_Junior BI Analyst_Test'!X20</f>
        <v>Sunil</v>
      </c>
      <c r="C96" s="14">
        <f>'CX_Junior BI Analyst_Test'!C20</f>
        <v>76</v>
      </c>
      <c r="D96" s="16">
        <f t="shared" si="0"/>
        <v>68.25</v>
      </c>
    </row>
    <row r="97" spans="2:4" x14ac:dyDescent="0.35">
      <c r="B97" s="14" t="str">
        <f>'CX_Junior BI Analyst_Test'!X21</f>
        <v>Kamal</v>
      </c>
      <c r="C97" s="14">
        <f>'CX_Junior BI Analyst_Test'!C21</f>
        <v>82</v>
      </c>
      <c r="D97" s="16">
        <f t="shared" si="0"/>
        <v>84</v>
      </c>
    </row>
    <row r="98" spans="2:4" x14ac:dyDescent="0.35">
      <c r="B98" s="14" t="str">
        <f>'CX_Junior BI Analyst_Test'!X22</f>
        <v>Neeraj</v>
      </c>
      <c r="C98" s="14">
        <f>'CX_Junior BI Analyst_Test'!C22</f>
        <v>88</v>
      </c>
      <c r="D98" s="16">
        <f t="shared" si="0"/>
        <v>90.375</v>
      </c>
    </row>
    <row r="99" spans="2:4" x14ac:dyDescent="0.35">
      <c r="B99" s="14" t="str">
        <f>'CX_Junior BI Analyst_Test'!X23</f>
        <v>Sanjeev</v>
      </c>
      <c r="C99" s="14">
        <f>'CX_Junior BI Analyst_Test'!C23</f>
        <v>71</v>
      </c>
      <c r="D99" s="16">
        <f t="shared" si="0"/>
        <v>67.75</v>
      </c>
    </row>
    <row r="100" spans="2:4" x14ac:dyDescent="0.35">
      <c r="B100" s="14" t="str">
        <f>'CX_Junior BI Analyst_Test'!X24</f>
        <v>Neeraj</v>
      </c>
      <c r="C100" s="14">
        <f>'CX_Junior BI Analyst_Test'!C24</f>
        <v>67</v>
      </c>
      <c r="D100" s="16">
        <f t="shared" si="0"/>
        <v>64.375</v>
      </c>
    </row>
    <row r="101" spans="2:4" x14ac:dyDescent="0.35">
      <c r="B101" s="14" t="str">
        <f>'CX_Junior BI Analyst_Test'!X25</f>
        <v>Ajeet</v>
      </c>
      <c r="C101" s="14">
        <f>'CX_Junior BI Analyst_Test'!C25</f>
        <v>60</v>
      </c>
      <c r="D101" s="16">
        <f t="shared" si="0"/>
        <v>64.25</v>
      </c>
    </row>
    <row r="102" spans="2:4" x14ac:dyDescent="0.35">
      <c r="B102" s="14" t="str">
        <f>'CX_Junior BI Analyst_Test'!X26</f>
        <v>Deepak</v>
      </c>
      <c r="C102" s="14">
        <f>'CX_Junior BI Analyst_Test'!C26</f>
        <v>81</v>
      </c>
      <c r="D102" s="16">
        <f t="shared" si="0"/>
        <v>81.75</v>
      </c>
    </row>
    <row r="103" spans="2:4" x14ac:dyDescent="0.35">
      <c r="B103" s="14" t="str">
        <f>'CX_Junior BI Analyst_Test'!X27</f>
        <v>Rajiv</v>
      </c>
      <c r="C103" s="14">
        <f>'CX_Junior BI Analyst_Test'!C27</f>
        <v>78</v>
      </c>
      <c r="D103" s="16">
        <f t="shared" si="0"/>
        <v>81.75</v>
      </c>
    </row>
    <row r="104" spans="2:4" x14ac:dyDescent="0.35">
      <c r="B104" s="14" t="str">
        <f>'CX_Junior BI Analyst_Test'!X28</f>
        <v>Satyam</v>
      </c>
      <c r="C104" s="14">
        <f>'CX_Junior BI Analyst_Test'!C28</f>
        <v>92</v>
      </c>
      <c r="D104" s="16">
        <f t="shared" si="0"/>
        <v>94.125</v>
      </c>
    </row>
    <row r="105" spans="2:4" x14ac:dyDescent="0.35">
      <c r="B105" s="14" t="str">
        <f>'CX_Junior BI Analyst_Test'!X29</f>
        <v>Hari</v>
      </c>
      <c r="C105" s="14">
        <f>'CX_Junior BI Analyst_Test'!C29</f>
        <v>59</v>
      </c>
      <c r="D105" s="16">
        <f t="shared" si="0"/>
        <v>65.875</v>
      </c>
    </row>
    <row r="106" spans="2:4" x14ac:dyDescent="0.35">
      <c r="B106" s="14" t="str">
        <f>'CX_Junior BI Analyst_Test'!X30</f>
        <v>Probin</v>
      </c>
      <c r="C106" s="14">
        <f>'CX_Junior BI Analyst_Test'!C30</f>
        <v>33</v>
      </c>
      <c r="D106" s="16">
        <f t="shared" si="0"/>
        <v>26.375</v>
      </c>
    </row>
    <row r="107" spans="2:4" x14ac:dyDescent="0.35">
      <c r="B107" s="14" t="str">
        <f>'CX_Junior BI Analyst_Test'!X31</f>
        <v>Raj Roushan</v>
      </c>
      <c r="C107" s="14">
        <f>'CX_Junior BI Analyst_Test'!C31</f>
        <v>64</v>
      </c>
      <c r="D107" s="16">
        <f t="shared" si="0"/>
        <v>56.625</v>
      </c>
    </row>
    <row r="108" spans="2:4" x14ac:dyDescent="0.35">
      <c r="B108" s="14" t="str">
        <f>'CX_Junior BI Analyst_Test'!X32</f>
        <v>Lukman</v>
      </c>
      <c r="C108" s="14">
        <f>'CX_Junior BI Analyst_Test'!C32</f>
        <v>69</v>
      </c>
      <c r="D108" s="16">
        <f t="shared" si="0"/>
        <v>75.625</v>
      </c>
    </row>
    <row r="109" spans="2:4" x14ac:dyDescent="0.35">
      <c r="B109" s="14" t="str">
        <f>'CX_Junior BI Analyst_Test'!X33</f>
        <v>Rohit</v>
      </c>
      <c r="C109" s="14">
        <f>'CX_Junior BI Analyst_Test'!C33</f>
        <v>83</v>
      </c>
      <c r="D109" s="16">
        <f t="shared" si="0"/>
        <v>87.75</v>
      </c>
    </row>
    <row r="110" spans="2:4" x14ac:dyDescent="0.35">
      <c r="B110" s="14" t="str">
        <f>'CX_Junior BI Analyst_Test'!X34</f>
        <v>Santosh</v>
      </c>
      <c r="C110" s="14">
        <f>'CX_Junior BI Analyst_Test'!C34</f>
        <v>94</v>
      </c>
      <c r="D110" s="16">
        <f t="shared" si="0"/>
        <v>95.5</v>
      </c>
    </row>
    <row r="111" spans="2:4" x14ac:dyDescent="0.35">
      <c r="B111" s="14" t="str">
        <f>'CX_Junior BI Analyst_Test'!X35</f>
        <v>Samir Pathan</v>
      </c>
      <c r="C111" s="14">
        <f>'CX_Junior BI Analyst_Test'!C35</f>
        <v>80</v>
      </c>
      <c r="D111" s="16">
        <f t="shared" si="0"/>
        <v>83.875</v>
      </c>
    </row>
    <row r="112" spans="2:4" x14ac:dyDescent="0.35">
      <c r="B112" s="14" t="str">
        <f>'CX_Junior BI Analyst_Test'!X36</f>
        <v>Sagar Prathak</v>
      </c>
      <c r="C112" s="14">
        <f>'CX_Junior BI Analyst_Test'!C36</f>
        <v>82</v>
      </c>
      <c r="D112" s="16">
        <f t="shared" si="0"/>
        <v>84.75</v>
      </c>
    </row>
    <row r="113" spans="2:4" x14ac:dyDescent="0.35">
      <c r="B113" s="14" t="str">
        <f>'CX_Junior BI Analyst_Test'!X37</f>
        <v>Santosh Jadhav</v>
      </c>
      <c r="C113" s="14">
        <f>'CX_Junior BI Analyst_Test'!C37</f>
        <v>84</v>
      </c>
      <c r="D113" s="16">
        <f t="shared" si="0"/>
        <v>87.125</v>
      </c>
    </row>
    <row r="114" spans="2:4" x14ac:dyDescent="0.35">
      <c r="B114" s="14" t="str">
        <f>'CX_Junior BI Analyst_Test'!X38</f>
        <v>Suresh</v>
      </c>
      <c r="C114" s="14">
        <f>'CX_Junior BI Analyst_Test'!C38</f>
        <v>73</v>
      </c>
      <c r="D114" s="16">
        <f t="shared" si="0"/>
        <v>77.625</v>
      </c>
    </row>
    <row r="115" spans="2:4" x14ac:dyDescent="0.35">
      <c r="B115" s="14" t="str">
        <f>'CX_Junior BI Analyst_Test'!X39</f>
        <v>The style advisor did not mention his name.</v>
      </c>
      <c r="C115" s="14">
        <f>'CX_Junior BI Analyst_Test'!C39</f>
        <v>39</v>
      </c>
      <c r="D115" s="16">
        <f t="shared" si="0"/>
        <v>33.375</v>
      </c>
    </row>
    <row r="116" spans="2:4" x14ac:dyDescent="0.35">
      <c r="B116" s="14" t="str">
        <f>'CX_Junior BI Analyst_Test'!X40</f>
        <v>Ali</v>
      </c>
      <c r="C116" s="14">
        <f>'CX_Junior BI Analyst_Test'!C40</f>
        <v>71</v>
      </c>
      <c r="D116" s="16">
        <f t="shared" si="0"/>
        <v>72.75</v>
      </c>
    </row>
    <row r="117" spans="2:4" x14ac:dyDescent="0.35">
      <c r="B117" s="14" t="str">
        <f>'CX_Junior BI Analyst_Test'!X41</f>
        <v>Fariz</v>
      </c>
      <c r="C117" s="14">
        <f>'CX_Junior BI Analyst_Test'!C41</f>
        <v>100</v>
      </c>
      <c r="D117" s="16">
        <f t="shared" si="0"/>
        <v>100</v>
      </c>
    </row>
    <row r="118" spans="2:4" x14ac:dyDescent="0.35">
      <c r="B118" s="14" t="str">
        <f>'CX_Junior BI Analyst_Test'!X42</f>
        <v>Abhay</v>
      </c>
      <c r="C118" s="14">
        <f>'CX_Junior BI Analyst_Test'!C42</f>
        <v>94</v>
      </c>
      <c r="D118" s="16">
        <f t="shared" si="0"/>
        <v>95.875</v>
      </c>
    </row>
    <row r="119" spans="2:4" x14ac:dyDescent="0.35">
      <c r="B119" s="14" t="str">
        <f>'CX_Junior BI Analyst_Test'!X43</f>
        <v>Rafi</v>
      </c>
      <c r="C119" s="14">
        <f>'CX_Junior BI Analyst_Test'!C43</f>
        <v>52</v>
      </c>
      <c r="D119" s="16">
        <f t="shared" si="0"/>
        <v>60.375</v>
      </c>
    </row>
    <row r="120" spans="2:4" x14ac:dyDescent="0.35">
      <c r="B120" s="14" t="str">
        <f>'CX_Junior BI Analyst_Test'!X44</f>
        <v>Sanjit</v>
      </c>
      <c r="C120" s="14">
        <f>'CX_Junior BI Analyst_Test'!C44</f>
        <v>62</v>
      </c>
      <c r="D120" s="16">
        <f t="shared" si="0"/>
        <v>53.75</v>
      </c>
    </row>
    <row r="121" spans="2:4" x14ac:dyDescent="0.35">
      <c r="B121" s="14" t="str">
        <f>'CX_Junior BI Analyst_Test'!X45</f>
        <v>Suman</v>
      </c>
      <c r="C121" s="14">
        <f>'CX_Junior BI Analyst_Test'!C45</f>
        <v>94</v>
      </c>
      <c r="D121" s="16">
        <f t="shared" si="0"/>
        <v>95.375</v>
      </c>
    </row>
    <row r="122" spans="2:4" x14ac:dyDescent="0.35">
      <c r="B122" s="14" t="str">
        <f>'CX_Junior BI Analyst_Test'!X46</f>
        <v>Yogesh</v>
      </c>
      <c r="C122" s="14">
        <f>'CX_Junior BI Analyst_Test'!C46</f>
        <v>86</v>
      </c>
      <c r="D122" s="16">
        <f t="shared" si="0"/>
        <v>88.125</v>
      </c>
    </row>
    <row r="123" spans="2:4" x14ac:dyDescent="0.35">
      <c r="B123" s="14" t="str">
        <f>'CX_Junior BI Analyst_Test'!X47</f>
        <v>Rohit</v>
      </c>
      <c r="C123" s="14">
        <f>'CX_Junior BI Analyst_Test'!C47</f>
        <v>94</v>
      </c>
      <c r="D123" s="16">
        <f t="shared" si="0"/>
        <v>94.375</v>
      </c>
    </row>
    <row r="124" spans="2:4" x14ac:dyDescent="0.35">
      <c r="B124" s="14" t="str">
        <f>'CX_Junior BI Analyst_Test'!X48</f>
        <v>Muskan</v>
      </c>
      <c r="C124" s="14">
        <f>'CX_Junior BI Analyst_Test'!C48</f>
        <v>41</v>
      </c>
      <c r="D124" s="16">
        <f t="shared" si="0"/>
        <v>43.375</v>
      </c>
    </row>
    <row r="125" spans="2:4" x14ac:dyDescent="0.35">
      <c r="B125" s="14" t="str">
        <f>'CX_Junior BI Analyst_Test'!X49</f>
        <v>Rahul</v>
      </c>
      <c r="C125" s="14">
        <f>'CX_Junior BI Analyst_Test'!C49</f>
        <v>69</v>
      </c>
      <c r="D125" s="16">
        <f t="shared" si="0"/>
        <v>66.875</v>
      </c>
    </row>
    <row r="126" spans="2:4" x14ac:dyDescent="0.35">
      <c r="B126" s="14" t="str">
        <f>'CX_Junior BI Analyst_Test'!X50</f>
        <v>Nitesh</v>
      </c>
      <c r="C126" s="14">
        <f>'CX_Junior BI Analyst_Test'!C50</f>
        <v>69</v>
      </c>
      <c r="D126" s="16">
        <f t="shared" si="0"/>
        <v>66.625</v>
      </c>
    </row>
    <row r="127" spans="2:4" x14ac:dyDescent="0.35">
      <c r="B127" s="14" t="str">
        <f>'CX_Junior BI Analyst_Test'!X51</f>
        <v>Gouse Bhasha</v>
      </c>
      <c r="C127" s="14">
        <f>'CX_Junior BI Analyst_Test'!C51</f>
        <v>61</v>
      </c>
      <c r="D127" s="16">
        <f t="shared" si="0"/>
        <v>65.75</v>
      </c>
    </row>
    <row r="128" spans="2:4" x14ac:dyDescent="0.35">
      <c r="B128" s="14" t="str">
        <f>'CX_Junior BI Analyst_Test'!X52</f>
        <v>Suraj</v>
      </c>
      <c r="C128" s="14">
        <f>'CX_Junior BI Analyst_Test'!C52</f>
        <v>92</v>
      </c>
      <c r="D128" s="16">
        <f t="shared" si="0"/>
        <v>93.75</v>
      </c>
    </row>
    <row r="129" spans="2:6" x14ac:dyDescent="0.35">
      <c r="B129" s="14" t="str">
        <f>'CX_Junior BI Analyst_Test'!X53</f>
        <v>Priyanka</v>
      </c>
      <c r="C129" s="14">
        <f>'CX_Junior BI Analyst_Test'!C53</f>
        <v>96</v>
      </c>
      <c r="D129" s="16">
        <f t="shared" si="0"/>
        <v>95.375</v>
      </c>
    </row>
    <row r="130" spans="2:6" x14ac:dyDescent="0.35">
      <c r="B130" s="14" t="str">
        <f>'CX_Junior BI Analyst_Test'!X54</f>
        <v>Vijay K</v>
      </c>
      <c r="C130" s="14">
        <f>'CX_Junior BI Analyst_Test'!C54</f>
        <v>34</v>
      </c>
      <c r="D130" s="16">
        <f t="shared" si="0"/>
        <v>28.25</v>
      </c>
    </row>
    <row r="131" spans="2:6" x14ac:dyDescent="0.35">
      <c r="B131" s="14" t="str">
        <f>'CX_Junior BI Analyst_Test'!X55</f>
        <v>Aneesh Jayanth</v>
      </c>
      <c r="C131" s="14">
        <f>'CX_Junior BI Analyst_Test'!C55</f>
        <v>53</v>
      </c>
      <c r="D131" s="16">
        <f t="shared" si="0"/>
        <v>56.875</v>
      </c>
    </row>
    <row r="132" spans="2:6" x14ac:dyDescent="0.35">
      <c r="B132" s="14" t="str">
        <f>'CX_Junior BI Analyst_Test'!X56</f>
        <v>Varinder</v>
      </c>
      <c r="C132" s="14">
        <f>'CX_Junior BI Analyst_Test'!C56</f>
        <v>94</v>
      </c>
      <c r="D132" s="16">
        <f t="shared" si="0"/>
        <v>94.75</v>
      </c>
    </row>
    <row r="133" spans="2:6" x14ac:dyDescent="0.35">
      <c r="B133" s="14" t="str">
        <f>'CX_Junior BI Analyst_Test'!X57</f>
        <v>Vasudev</v>
      </c>
      <c r="C133" s="14">
        <f>'CX_Junior BI Analyst_Test'!C57</f>
        <v>61</v>
      </c>
      <c r="D133" s="16">
        <f t="shared" si="0"/>
        <v>61.75</v>
      </c>
    </row>
    <row r="134" spans="2:6" x14ac:dyDescent="0.35">
      <c r="B134" s="14" t="str">
        <f>'CX_Junior BI Analyst_Test'!X58</f>
        <v>Senthil Kumar</v>
      </c>
      <c r="C134" s="14">
        <f>'CX_Junior BI Analyst_Test'!C58</f>
        <v>88</v>
      </c>
      <c r="D134" s="16">
        <f t="shared" si="0"/>
        <v>90.125</v>
      </c>
    </row>
    <row r="135" spans="2:6" x14ac:dyDescent="0.35">
      <c r="B135" s="14" t="str">
        <f>'CX_Junior BI Analyst_Test'!X59</f>
        <v>Anju Gurung</v>
      </c>
      <c r="C135" s="14">
        <f>'CX_Junior BI Analyst_Test'!C59</f>
        <v>77</v>
      </c>
      <c r="D135" s="16">
        <f t="shared" si="0"/>
        <v>67.875</v>
      </c>
    </row>
    <row r="136" spans="2:6" x14ac:dyDescent="0.35">
      <c r="B136" s="14" t="str">
        <f>'CX_Junior BI Analyst_Test'!X60</f>
        <v>Mr. Girish</v>
      </c>
      <c r="C136" s="14">
        <f>'CX_Junior BI Analyst_Test'!C60</f>
        <v>33</v>
      </c>
      <c r="D136" s="16">
        <f t="shared" si="0"/>
        <v>27</v>
      </c>
    </row>
    <row r="137" spans="2:6" x14ac:dyDescent="0.35">
      <c r="B137" s="14" t="str">
        <f>'CX_Junior BI Analyst_Test'!X61</f>
        <v>Yash</v>
      </c>
      <c r="C137" s="14">
        <f>'CX_Junior BI Analyst_Test'!C61</f>
        <v>35</v>
      </c>
      <c r="D137" s="16">
        <f t="shared" si="0"/>
        <v>26.25</v>
      </c>
    </row>
    <row r="138" spans="2:6" x14ac:dyDescent="0.35">
      <c r="B138" s="14" t="str">
        <f>'CX_Junior BI Analyst_Test'!X62</f>
        <v>Arbaaz</v>
      </c>
      <c r="C138" s="14">
        <f>'CX_Junior BI Analyst_Test'!C62</f>
        <v>65</v>
      </c>
      <c r="D138" s="16">
        <f t="shared" si="0"/>
        <v>66.25</v>
      </c>
    </row>
    <row r="142" spans="2:6" ht="15.5" x14ac:dyDescent="0.35">
      <c r="B142" s="26" t="s">
        <v>793</v>
      </c>
      <c r="C142" s="27" t="s">
        <v>804</v>
      </c>
      <c r="D142" s="27" t="s">
        <v>805</v>
      </c>
      <c r="E142" s="27" t="s">
        <v>806</v>
      </c>
      <c r="F142" s="27" t="s">
        <v>807</v>
      </c>
    </row>
    <row r="143" spans="2:6" x14ac:dyDescent="0.35">
      <c r="B143" s="28" t="s">
        <v>789</v>
      </c>
      <c r="C143" s="14">
        <f>COUNTIFS('Task 2 Sheet2'!C14:C71, "&gt;=90", 'Task 2 Sheet2'!C14:C71, "&lt;=100")</f>
        <v>2</v>
      </c>
      <c r="D143" s="14">
        <f>COUNTIFS('Task 2 Sheet2'!D14:D71, "&gt;=90", 'Task 2 Sheet2'!D14:D71, "&lt;=100")</f>
        <v>4</v>
      </c>
      <c r="E143" s="14">
        <f>COUNTIFS('Task 2 Sheet2'!E14:E71, "&gt;=90", 'Task 2 Sheet2'!E14:E71, "&lt;=100")</f>
        <v>2</v>
      </c>
      <c r="F143" s="14">
        <f>COUNTIFS('Task 2 Sheet2'!F14:F71, "&gt;=90", 'Task 2 Sheet2'!F14:F71, "&lt;=100")</f>
        <v>2</v>
      </c>
    </row>
    <row r="144" spans="2:6" x14ac:dyDescent="0.35">
      <c r="B144" s="29" t="s">
        <v>777</v>
      </c>
      <c r="C144" s="14">
        <f>COUNTIFS('Task 2 Sheet2'!C14:C71,"&gt;70", 'Task 2 Sheet2'!C14:C71,"&lt;90")</f>
        <v>1</v>
      </c>
      <c r="D144" s="14">
        <f>COUNTIFS('Task 2 Sheet2'!D14:D71,"&gt;70", 'Task 2 Sheet2'!D14:D71,"&lt;90")</f>
        <v>7</v>
      </c>
      <c r="E144" s="14">
        <f>COUNTIFS('Task 2 Sheet2'!E14:E71,"&gt;70", 'Task 2 Sheet2'!E14:E71,"&lt;90")</f>
        <v>7</v>
      </c>
      <c r="F144" s="14">
        <f>COUNTIFS('Task 2 Sheet2'!F14:F71,"&gt;70", 'Task 2 Sheet2'!F14:F71,"&lt;90")</f>
        <v>9</v>
      </c>
    </row>
    <row r="145" spans="2:6" x14ac:dyDescent="0.35">
      <c r="B145" s="28" t="s">
        <v>778</v>
      </c>
      <c r="C145" s="14">
        <f>COUNTIFS('Task 2 Sheet2'!C14:C71,"&gt;=50", 'Task 2 Sheet2'!C14:C71, "&lt;70")</f>
        <v>3</v>
      </c>
      <c r="D145" s="14">
        <f>COUNTIFS('Task 2 Sheet2'!D14:D71,"&gt;=50", 'Task 2 Sheet2'!D14:D71, "&lt;70")</f>
        <v>3</v>
      </c>
      <c r="E145" s="14">
        <f>COUNTIFS('Task 2 Sheet2'!E14:E71,"&gt;=50", 'Task 2 Sheet2'!E14:E71, "&lt;70")</f>
        <v>6</v>
      </c>
      <c r="F145" s="14">
        <f>COUNTIFS('Task 2 Sheet2'!F14:F71,"&gt;=50", 'Task 2 Sheet2'!F14:F71, "&lt;70")</f>
        <v>2</v>
      </c>
    </row>
    <row r="146" spans="2:6" x14ac:dyDescent="0.35">
      <c r="B146" s="29" t="s">
        <v>779</v>
      </c>
      <c r="C146" s="14">
        <f>COUNTIF('Task 2 Sheet2'!C14:C71, "&lt;50")</f>
        <v>1</v>
      </c>
      <c r="D146" s="14">
        <f>COUNTIF('Task 2 Sheet2'!D14:D71, "&lt;50")</f>
        <v>1</v>
      </c>
      <c r="E146" s="14">
        <f>COUNTIF('Task 2 Sheet2'!E14:E71, "&lt;50")</f>
        <v>3</v>
      </c>
      <c r="F146" s="14">
        <f>COUNTIF('Task 2 Sheet2'!F14:F71, "&lt;50")</f>
        <v>3</v>
      </c>
    </row>
    <row r="147" spans="2:6" x14ac:dyDescent="0.35">
      <c r="B147" s="30" t="s">
        <v>790</v>
      </c>
      <c r="C147" s="14">
        <f>SUM(C143:C146)</f>
        <v>7</v>
      </c>
      <c r="D147" s="14">
        <f t="shared" ref="D147:F147" si="1">SUM(D143:D146)</f>
        <v>15</v>
      </c>
      <c r="E147" s="14">
        <f t="shared" si="1"/>
        <v>18</v>
      </c>
      <c r="F147" s="14">
        <f t="shared" si="1"/>
        <v>16</v>
      </c>
    </row>
  </sheetData>
  <sortState xmlns:xlrd2="http://schemas.microsoft.com/office/spreadsheetml/2017/richdata2" ref="G13:J73">
    <sortCondition ref="I12:I73"/>
  </sortState>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Qs)Part-3</vt:lpstr>
      <vt:lpstr>Qs)Part-4 Visualizations-1</vt:lpstr>
      <vt:lpstr>CX_Junior BI Analyst_Test</vt:lpstr>
      <vt:lpstr>Task 1 Sheet</vt:lpstr>
      <vt:lpstr>Task 2 Sheet2</vt:lpstr>
      <vt:lpstr>Task 3 Sheet3</vt:lpstr>
      <vt:lpstr>Calculation Pivot Table</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pc</cp:lastModifiedBy>
  <cp:revision/>
  <dcterms:created xsi:type="dcterms:W3CDTF">2024-01-18T01:14:11Z</dcterms:created>
  <dcterms:modified xsi:type="dcterms:W3CDTF">2025-08-06T07:09:34Z</dcterms:modified>
</cp:coreProperties>
</file>